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" sheetId="1" r:id="rId5"/>
    <sheet state="visible" name="Weekly" sheetId="2" r:id="rId6"/>
    <sheet state="visible" name="Elopment" sheetId="3" r:id="rId7"/>
    <sheet state="visible" name="Sheet3" sheetId="4" r:id="rId8"/>
  </sheets>
  <definedNames/>
  <calcPr/>
</workbook>
</file>

<file path=xl/sharedStrings.xml><?xml version="1.0" encoding="utf-8"?>
<sst xmlns="http://schemas.openxmlformats.org/spreadsheetml/2006/main" count="1401" uniqueCount="96">
  <si>
    <t xml:space="preserve">  </t>
  </si>
  <si>
    <t># of times he used replacement behavior (#of times replacement was used/#of elevated intervals)</t>
  </si>
  <si>
    <t>(# of R/# elevated intervals)</t>
  </si>
  <si>
    <t>Percentage of Yes 
(Yes/# of elevated intervals)</t>
  </si>
  <si>
    <t>Percentage  
(Mild/
Total interals)</t>
  </si>
  <si>
    <t>Percentage 
(Moderate/
Total interals)</t>
  </si>
  <si>
    <t>Percentage
(Severe/
Total interals)</t>
  </si>
  <si>
    <t>Percentage
# intervals behavior exhibited/
Total # Intervals</t>
  </si>
  <si>
    <t>Date</t>
  </si>
  <si>
    <t xml:space="preserve">Used Replacement Behavior
</t>
  </si>
  <si>
    <t>How many replacement behaviors did he request?</t>
  </si>
  <si>
    <t>Did he name an accurate emotion?</t>
  </si>
  <si>
    <t>Elopement
Mild</t>
  </si>
  <si>
    <t>Elopement
Moderate</t>
  </si>
  <si>
    <t>Elopement
Severe</t>
  </si>
  <si>
    <t xml:space="preserve">Behaviors Exhibited
</t>
  </si>
  <si>
    <t>Comments</t>
  </si>
  <si>
    <t>9/2/25 Weekly Total</t>
  </si>
  <si>
    <t>left early (1:45)</t>
  </si>
  <si>
    <t>9/8/25 Weekly Total</t>
  </si>
  <si>
    <t>*no data on replacement behaviors taken</t>
  </si>
  <si>
    <t>9/15/25 Weekly Total</t>
  </si>
  <si>
    <t>9/22/25 Weekly Total</t>
  </si>
  <si>
    <t>9/29/25 Weekly Total</t>
  </si>
  <si>
    <t>Left early</t>
  </si>
  <si>
    <t>Declined scheduled break</t>
  </si>
  <si>
    <t>10/7/25 Weekly Total</t>
  </si>
  <si>
    <t>10/13/25 Weekly Total</t>
  </si>
  <si>
    <t>10/21/25 Weekly Total</t>
  </si>
  <si>
    <t>*in the wave room for the whole afternoon</t>
  </si>
  <si>
    <t>10/27/25 Weekly Total</t>
  </si>
  <si>
    <t>11/3/25 Weekly Total</t>
  </si>
  <si>
    <t>Late arrival 10:30</t>
  </si>
  <si>
    <t>11/10/25 Weekly Total</t>
  </si>
  <si>
    <t>11/17/25 Weekly Total</t>
  </si>
  <si>
    <t>12/1/25 Weekly Total</t>
  </si>
  <si>
    <t>Na</t>
  </si>
  <si>
    <t>Late arrival</t>
  </si>
  <si>
    <t>12/8/25 Weekly Total</t>
  </si>
  <si>
    <t>Afternoon with AP, sent home early for violence at recess (see notes)</t>
  </si>
  <si>
    <t>Absent</t>
  </si>
  <si>
    <t>In D/hh all morning</t>
  </si>
  <si>
    <t>12/15/25 Weekly Total</t>
  </si>
  <si>
    <t>12/22/25 Weekly Total</t>
  </si>
  <si>
    <t>1/5/26 Weekly Total</t>
  </si>
  <si>
    <t>1/12/26 Weekly Total</t>
  </si>
  <si>
    <t>No school</t>
  </si>
  <si>
    <t>1/20/26 Weekly Total</t>
  </si>
  <si>
    <t>1/26/26 Weekly Total</t>
  </si>
  <si>
    <t>2/2/26 Weekly Total</t>
  </si>
  <si>
    <t>Missing data</t>
  </si>
  <si>
    <t>2/9/26 Weekly Total</t>
  </si>
  <si>
    <t>2/17/26 Weekly Total</t>
  </si>
  <si>
    <t>2/23/26 Weekly Total</t>
  </si>
  <si>
    <t>3/2/26 Weekly Total</t>
  </si>
  <si>
    <t>3/10/26 Weekly Total</t>
  </si>
  <si>
    <t>3/16/26 Weekly Total</t>
  </si>
  <si>
    <t>3/23/26 Weekly Total</t>
  </si>
  <si>
    <t>4/6/26 Weekly Total</t>
  </si>
  <si>
    <t>4/13/26 Weekly Total</t>
  </si>
  <si>
    <t>4/20/26 Weekly Total</t>
  </si>
  <si>
    <t>4/27/26 Weekly Total</t>
  </si>
  <si>
    <t>5/4/26 Weekly Total</t>
  </si>
  <si>
    <t>5/11/26 Weekly Total</t>
  </si>
  <si>
    <t>5/18/26 Weekly Total</t>
  </si>
  <si>
    <t>5/26/26 Weekly Total</t>
  </si>
  <si>
    <t>6/1/26 Weekly Total</t>
  </si>
  <si>
    <t xml:space="preserve">Did he name an accurate emotion?
</t>
  </si>
  <si>
    <t>Behaviors Exhibited
 (Physical aggression, Property destruction, verbal outbursts)</t>
  </si>
  <si>
    <t>Totals</t>
  </si>
  <si>
    <t>Percentages</t>
  </si>
  <si>
    <t>DD</t>
  </si>
  <si>
    <t>9:00 Social Skills</t>
  </si>
  <si>
    <t>9:30 Bridges</t>
  </si>
  <si>
    <t>10:00 Math</t>
  </si>
  <si>
    <t>10:30:00 AM
DHH - math</t>
  </si>
  <si>
    <t>11:00:00 AM
Specials</t>
  </si>
  <si>
    <t>11:30:00 AM -Specials</t>
  </si>
  <si>
    <t>12:00 Whole Group Reading</t>
  </si>
  <si>
    <t>12:30 DHH Reading</t>
  </si>
  <si>
    <t>1:00 Recess</t>
  </si>
  <si>
    <t>1:30 Lunch</t>
  </si>
  <si>
    <t>2:00 Reading</t>
  </si>
  <si>
    <t>2:30 Reading</t>
  </si>
  <si>
    <t xml:space="preserve">3:00 Dismissal </t>
  </si>
  <si>
    <t>TOTAL</t>
  </si>
  <si>
    <t xml:space="preserve">Average In Class: </t>
  </si>
  <si>
    <t>Totals from below:</t>
  </si>
  <si>
    <t>In class</t>
  </si>
  <si>
    <t>*none</t>
  </si>
  <si>
    <t>Mild</t>
  </si>
  <si>
    <t>Mod</t>
  </si>
  <si>
    <t>*left early</t>
  </si>
  <si>
    <t>Severe</t>
  </si>
  <si>
    <t>In the office with AP after recess then sent home at 245.</t>
  </si>
  <si>
    <t>In d/hh not gen ed from 9:30 to 10:30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</si>
</sst>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&quot;/&quot;d&quot;/&quot;yy"/>
    <numFmt numFmtId="165" formatCode="m/d/yy"/>
    <numFmt numFmtId="166" formatCode="M/d/yyyy"/>
    <numFmt numFmtId="167" formatCode="m/d/yyyy"/>
    <numFmt numFmtId="168" formatCode="0.0"/>
  </numFmts>
  <fonts count="13">
    <font>
      <sz val="10.0"/>
      <color rgb="FF000000"/>
      <name val="Arial"/>
      <scheme val="minor"/>
    </font>
    <font>
      <b/>
      <sz val="12.0"/>
      <color theme="1"/>
      <name val="Teachers"/>
    </font>
    <font>
      <sz val="12.0"/>
      <color rgb="FF000000"/>
      <name val="Teachers"/>
    </font>
    <font>
      <b/>
      <sz val="12.0"/>
      <color rgb="FF000000"/>
      <name val="Teachers"/>
    </font>
    <font>
      <sz val="12.0"/>
      <color theme="1"/>
      <name val="Teachers"/>
    </font>
    <font>
      <b/>
      <color theme="1"/>
      <name val="Teachers"/>
    </font>
    <font>
      <b/>
      <color rgb="FF000000"/>
      <name val="Teachers"/>
    </font>
    <font>
      <color theme="1"/>
      <name val="Teachers"/>
    </font>
    <font>
      <color theme="1"/>
      <name val="Arial"/>
      <scheme val="minor"/>
    </font>
    <font>
      <b/>
      <sz val="10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shrinkToFit="0" wrapText="1"/>
    </xf>
    <xf borderId="1" fillId="0" fontId="2" numFmtId="9" xfId="0" applyAlignment="1" applyBorder="1" applyFont="1" applyNumberFormat="1">
      <alignment horizontal="center" readingOrder="0" shrinkToFit="0" wrapText="1"/>
    </xf>
    <xf borderId="1" fillId="0" fontId="2" numFmtId="9" xfId="0" applyAlignment="1" applyBorder="1" applyFont="1" applyNumberFormat="1">
      <alignment horizontal="left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2" fontId="1" numFmtId="0" xfId="0" applyAlignment="1" applyBorder="1" applyFill="1" applyFont="1">
      <alignment vertical="bottom"/>
    </xf>
    <xf borderId="1" fillId="2" fontId="3" numFmtId="0" xfId="0" applyAlignment="1" applyBorder="1" applyFont="1">
      <alignment horizontal="center" readingOrder="0" shrinkToFit="0" wrapText="1"/>
    </xf>
    <xf borderId="1" fillId="2" fontId="3" numFmtId="9" xfId="0" applyAlignment="1" applyBorder="1" applyFont="1" applyNumberFormat="1">
      <alignment horizontal="center" readingOrder="0" shrinkToFit="0" wrapText="1"/>
    </xf>
    <xf borderId="1" fillId="2" fontId="1" numFmtId="9" xfId="0" applyAlignment="1" applyBorder="1" applyFont="1" applyNumberFormat="1">
      <alignment horizontal="left" readingOrder="0" shrinkToFit="0" wrapText="1"/>
    </xf>
    <xf borderId="1" fillId="0" fontId="4" numFmtId="164" xfId="0" applyAlignment="1" applyBorder="1" applyFont="1" applyNumberFormat="1">
      <alignment horizontal="center" shrinkToFit="0" vertical="bottom" wrapText="1"/>
    </xf>
    <xf borderId="1" fillId="0" fontId="4" numFmtId="9" xfId="0" applyAlignment="1" applyBorder="1" applyFont="1" applyNumberFormat="1">
      <alignment horizontal="center" shrinkToFit="0" vertical="bottom" wrapText="1"/>
    </xf>
    <xf borderId="1" fillId="0" fontId="4" numFmtId="9" xfId="0" applyBorder="1" applyFont="1" applyNumberFormat="1"/>
    <xf borderId="1" fillId="0" fontId="4" numFmtId="0" xfId="0" applyAlignment="1" applyBorder="1" applyFont="1">
      <alignment readingOrder="0" shrinkToFit="0" wrapText="1"/>
    </xf>
    <xf borderId="1" fillId="3" fontId="4" numFmtId="0" xfId="0" applyAlignment="1" applyBorder="1" applyFill="1" applyFont="1">
      <alignment horizontal="center" shrinkToFit="0" vertical="bottom" wrapText="1"/>
    </xf>
    <xf borderId="1" fillId="3" fontId="4" numFmtId="9" xfId="0" applyAlignment="1" applyBorder="1" applyFont="1" applyNumberFormat="1">
      <alignment horizontal="center" readingOrder="0" shrinkToFit="0" vertical="bottom" wrapText="1"/>
    </xf>
    <xf borderId="1" fillId="3" fontId="4" numFmtId="0" xfId="0" applyAlignment="1" applyBorder="1" applyFont="1">
      <alignment shrinkToFit="0" wrapText="1"/>
    </xf>
    <xf borderId="1" fillId="0" fontId="4" numFmtId="9" xfId="0" applyAlignment="1" applyBorder="1" applyFont="1" applyNumberFormat="1">
      <alignment readingOrder="0"/>
    </xf>
    <xf borderId="1" fillId="0" fontId="4" numFmtId="0" xfId="0" applyAlignment="1" applyBorder="1" applyFont="1">
      <alignment shrinkToFit="0" wrapText="1"/>
    </xf>
    <xf borderId="1" fillId="0" fontId="4" numFmtId="10" xfId="0" applyAlignment="1" applyBorder="1" applyFont="1" applyNumberFormat="1">
      <alignment horizontal="center" shrinkToFit="0" vertical="bottom" wrapText="1"/>
    </xf>
    <xf borderId="1" fillId="0" fontId="4" numFmtId="10" xfId="0" applyAlignment="1" applyBorder="1" applyFont="1" applyNumberFormat="1">
      <alignment readingOrder="0"/>
    </xf>
    <xf borderId="1" fillId="0" fontId="4" numFmtId="10" xfId="0" applyBorder="1" applyFont="1" applyNumberFormat="1"/>
    <xf borderId="1" fillId="3" fontId="4" numFmtId="0" xfId="0" applyAlignment="1" applyBorder="1" applyFont="1">
      <alignment horizontal="center" shrinkToFit="0" vertical="bottom" wrapText="1"/>
    </xf>
    <xf borderId="1" fillId="3" fontId="4" numFmtId="165" xfId="0" applyAlignment="1" applyBorder="1" applyFont="1" applyNumberFormat="1">
      <alignment horizontal="center" shrinkToFit="0" vertical="bottom" wrapText="1"/>
    </xf>
    <xf borderId="1" fillId="4" fontId="4" numFmtId="164" xfId="0" applyAlignment="1" applyBorder="1" applyFill="1" applyFont="1" applyNumberFormat="1">
      <alignment horizontal="center" shrinkToFit="0" vertical="bottom" wrapText="1"/>
    </xf>
    <xf borderId="1" fillId="4" fontId="4" numFmtId="10" xfId="0" applyAlignment="1" applyBorder="1" applyFont="1" applyNumberFormat="1">
      <alignment horizontal="center" shrinkToFit="0" vertical="bottom" wrapText="1"/>
    </xf>
    <xf borderId="1" fillId="0" fontId="4" numFmtId="0" xfId="0" applyAlignment="1" applyBorder="1" applyFont="1">
      <alignment horizontal="center" readingOrder="0" shrinkToFit="0" vertical="bottom" wrapText="1"/>
    </xf>
    <xf borderId="1" fillId="0" fontId="4" numFmtId="0" xfId="0" applyAlignment="1" applyBorder="1" applyFont="1">
      <alignment readingOrder="0"/>
    </xf>
    <xf borderId="1" fillId="0" fontId="4" numFmtId="0" xfId="0" applyBorder="1" applyFont="1"/>
    <xf borderId="1" fillId="0" fontId="4" numFmtId="10" xfId="0" applyAlignment="1" applyBorder="1" applyFont="1" applyNumberFormat="1">
      <alignment horizontal="center" readingOrder="0" shrinkToFit="0" vertical="bottom" wrapText="1"/>
    </xf>
    <xf borderId="1" fillId="5" fontId="4" numFmtId="165" xfId="0" applyAlignment="1" applyBorder="1" applyFill="1" applyFont="1" applyNumberFormat="1">
      <alignment horizontal="center" shrinkToFit="0" vertical="bottom" wrapText="1"/>
    </xf>
    <xf borderId="1" fillId="3" fontId="4" numFmtId="166" xfId="0" applyAlignment="1" applyBorder="1" applyFont="1" applyNumberFormat="1">
      <alignment horizontal="center" shrinkToFit="0" vertical="bottom" wrapText="1"/>
    </xf>
    <xf borderId="1" fillId="0" fontId="4" numFmtId="165" xfId="0" applyAlignment="1" applyBorder="1" applyFont="1" applyNumberFormat="1">
      <alignment horizontal="center" shrinkToFit="0" vertical="bottom" wrapText="1"/>
    </xf>
    <xf borderId="1" fillId="3" fontId="4" numFmtId="167" xfId="0" applyAlignment="1" applyBorder="1" applyFont="1" applyNumberFormat="1">
      <alignment horizontal="center" shrinkToFit="0" vertical="bottom" wrapText="1"/>
    </xf>
    <xf borderId="1" fillId="5" fontId="4" numFmtId="166" xfId="0" applyAlignment="1" applyBorder="1" applyFont="1" applyNumberFormat="1">
      <alignment horizontal="center" shrinkToFit="0" vertical="bottom" wrapText="1"/>
    </xf>
    <xf borderId="0" fillId="2" fontId="5" numFmtId="0" xfId="0" applyAlignment="1" applyFont="1">
      <alignment vertical="bottom"/>
    </xf>
    <xf borderId="1" fillId="2" fontId="6" numFmtId="168" xfId="0" applyAlignment="1" applyBorder="1" applyFont="1" applyNumberFormat="1">
      <alignment horizontal="center" readingOrder="0" shrinkToFit="0" wrapText="1"/>
    </xf>
    <xf borderId="1" fillId="2" fontId="6" numFmtId="0" xfId="0" applyAlignment="1" applyBorder="1" applyFont="1">
      <alignment horizontal="center" readingOrder="0" shrinkToFit="0" wrapText="1"/>
    </xf>
    <xf borderId="1" fillId="2" fontId="6" numFmtId="9" xfId="0" applyAlignment="1" applyBorder="1" applyFont="1" applyNumberFormat="1">
      <alignment horizontal="center" readingOrder="0" shrinkToFit="0" wrapText="1"/>
    </xf>
    <xf borderId="2" fillId="2" fontId="6" numFmtId="9" xfId="0" applyAlignment="1" applyBorder="1" applyFont="1" applyNumberFormat="1">
      <alignment horizontal="center" readingOrder="0" shrinkToFit="0" wrapText="1"/>
    </xf>
    <xf borderId="1" fillId="2" fontId="5" numFmtId="0" xfId="0" applyAlignment="1" applyBorder="1" applyFont="1">
      <alignment horizontal="left" readingOrder="0" shrinkToFit="0" wrapText="1"/>
    </xf>
    <xf borderId="2" fillId="2" fontId="6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readingOrder="0" vertical="bottom"/>
    </xf>
    <xf borderId="0" fillId="0" fontId="7" numFmtId="9" xfId="0" applyAlignment="1" applyFont="1" applyNumberFormat="1">
      <alignment vertical="bottom"/>
    </xf>
    <xf borderId="0" fillId="0" fontId="7" numFmtId="0" xfId="0" applyAlignment="1" applyFont="1">
      <alignment shrinkToFit="0" wrapText="1"/>
    </xf>
    <xf borderId="0" fillId="0" fontId="7" numFmtId="165" xfId="0" applyAlignment="1" applyFont="1" applyNumberFormat="1">
      <alignment readingOrder="0" vertical="bottom"/>
    </xf>
    <xf borderId="0" fillId="0" fontId="7" numFmtId="9" xfId="0" applyAlignment="1" applyFont="1" applyNumberFormat="1">
      <alignment readingOrder="0" vertical="bottom"/>
    </xf>
    <xf borderId="1" fillId="3" fontId="8" numFmtId="0" xfId="0" applyAlignment="1" applyBorder="1" applyFont="1">
      <alignment readingOrder="0"/>
    </xf>
    <xf borderId="1" fillId="3" fontId="9" numFmtId="0" xfId="0" applyAlignment="1" applyBorder="1" applyFont="1">
      <alignment horizontal="center" readingOrder="0" shrinkToFit="0" textRotation="90" vertical="center" wrapText="1"/>
    </xf>
    <xf borderId="1" fillId="6" fontId="9" numFmtId="0" xfId="0" applyAlignment="1" applyBorder="1" applyFill="1" applyFont="1">
      <alignment horizontal="center" readingOrder="0" textRotation="90" vertical="center"/>
    </xf>
    <xf borderId="1" fillId="0" fontId="8" numFmtId="0" xfId="0" applyBorder="1" applyFont="1"/>
    <xf borderId="1" fillId="5" fontId="10" numFmtId="0" xfId="0" applyAlignment="1" applyBorder="1" applyFont="1">
      <alignment horizontal="center" readingOrder="0" shrinkToFit="0" wrapText="1"/>
    </xf>
    <xf borderId="1" fillId="5" fontId="10" numFmtId="10" xfId="0" applyBorder="1" applyFont="1" applyNumberFormat="1"/>
    <xf borderId="0" fillId="5" fontId="8" numFmtId="0" xfId="0" applyFont="1"/>
    <xf borderId="0" fillId="0" fontId="8" numFmtId="0" xfId="0" applyAlignment="1" applyFont="1">
      <alignment readingOrder="0" shrinkToFit="0" wrapText="1"/>
    </xf>
    <xf borderId="1" fillId="3" fontId="9" numFmtId="0" xfId="0" applyAlignment="1" applyBorder="1" applyFont="1">
      <alignment horizontal="center" readingOrder="0" shrinkToFit="0" textRotation="0" vertical="center" wrapText="1"/>
    </xf>
    <xf borderId="0" fillId="5" fontId="10" numFmtId="10" xfId="0" applyFont="1" applyNumberFormat="1"/>
    <xf borderId="1" fillId="3" fontId="11" numFmtId="165" xfId="0" applyAlignment="1" applyBorder="1" applyFont="1" applyNumberFormat="1">
      <alignment horizontal="center" readingOrder="0" shrinkToFit="0" vertical="top" wrapText="1"/>
    </xf>
    <xf borderId="1" fillId="3" fontId="11" numFmtId="3" xfId="0" applyAlignment="1" applyBorder="1" applyFont="1" applyNumberFormat="1">
      <alignment horizontal="center" readingOrder="0" shrinkToFit="0" vertical="top" wrapText="1"/>
    </xf>
    <xf borderId="1" fillId="0" fontId="8" numFmtId="0" xfId="0" applyAlignment="1" applyBorder="1" applyFont="1">
      <alignment horizontal="center" readingOrder="0"/>
    </xf>
    <xf borderId="1" fillId="6" fontId="8" numFmtId="0" xfId="0" applyBorder="1" applyFont="1"/>
    <xf borderId="1" fillId="0" fontId="8" numFmtId="0" xfId="0" applyAlignment="1" applyBorder="1" applyFont="1">
      <alignment readingOrder="0"/>
    </xf>
    <xf borderId="1" fillId="0" fontId="8" numFmtId="9" xfId="0" applyAlignment="1" applyBorder="1" applyFont="1" applyNumberFormat="1">
      <alignment readingOrder="0"/>
    </xf>
    <xf borderId="1" fillId="0" fontId="8" numFmtId="10" xfId="0" applyBorder="1" applyFont="1" applyNumberFormat="1"/>
    <xf borderId="1" fillId="3" fontId="11" numFmtId="0" xfId="0" applyAlignment="1" applyBorder="1" applyFont="1">
      <alignment horizontal="center" readingOrder="0" shrinkToFit="0" vertical="top" wrapText="1"/>
    </xf>
    <xf borderId="1" fillId="0" fontId="8" numFmtId="165" xfId="0" applyAlignment="1" applyBorder="1" applyFont="1" applyNumberFormat="1">
      <alignment readingOrder="0"/>
    </xf>
    <xf borderId="1" fillId="0" fontId="12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Elopment!$R$3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Elopment!$R$4:$R$104</c:f>
              <c:numCache/>
            </c:numRef>
          </c:val>
          <c:smooth val="0"/>
        </c:ser>
        <c:axId val="2045151747"/>
        <c:axId val="1353270843"/>
      </c:lineChart>
      <c:catAx>
        <c:axId val="20451517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3270843"/>
      </c:catAx>
      <c:valAx>
        <c:axId val="13532708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51517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371475</xdr:colOff>
      <xdr:row>7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23.13"/>
    <col customWidth="1" min="2" max="3" width="17.5"/>
    <col customWidth="1" min="4" max="4" width="18.38"/>
    <col customWidth="1" min="5" max="5" width="13.38"/>
    <col customWidth="1" min="6" max="6" width="11.88"/>
    <col customWidth="1" min="7" max="7" width="11.75"/>
    <col customWidth="1" min="8" max="8" width="19.63"/>
    <col customWidth="1" min="9" max="9" width="47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/>
    </row>
    <row r="2">
      <c r="A2" s="6" t="s">
        <v>8</v>
      </c>
      <c r="B2" s="7" t="s">
        <v>9</v>
      </c>
      <c r="C2" s="7" t="s">
        <v>10</v>
      </c>
      <c r="D2" s="7" t="s">
        <v>11</v>
      </c>
      <c r="E2" s="8" t="s">
        <v>12</v>
      </c>
      <c r="F2" s="8" t="s">
        <v>13</v>
      </c>
      <c r="G2" s="8" t="s">
        <v>14</v>
      </c>
      <c r="H2" s="9" t="s">
        <v>15</v>
      </c>
      <c r="I2" s="7" t="s">
        <v>16</v>
      </c>
    </row>
    <row r="3">
      <c r="A3" s="10">
        <v>45902.0</v>
      </c>
      <c r="B3" s="11">
        <f>4/4</f>
        <v>1</v>
      </c>
      <c r="C3" s="12">
        <f>1/4</f>
        <v>0.25</v>
      </c>
      <c r="D3" s="12">
        <f>0/4</f>
        <v>0</v>
      </c>
      <c r="E3" s="12">
        <f t="shared" ref="E3:H3" si="1">0</f>
        <v>0</v>
      </c>
      <c r="F3" s="12">
        <f t="shared" si="1"/>
        <v>0</v>
      </c>
      <c r="G3" s="12">
        <f t="shared" si="1"/>
        <v>0</v>
      </c>
      <c r="H3" s="12">
        <f t="shared" si="1"/>
        <v>0</v>
      </c>
      <c r="I3" s="13"/>
    </row>
    <row r="4">
      <c r="A4" s="10">
        <v>45903.0</v>
      </c>
      <c r="B4" s="11">
        <f>4/6</f>
        <v>0.6666666667</v>
      </c>
      <c r="C4" s="12">
        <f>3/6</f>
        <v>0.5</v>
      </c>
      <c r="D4" s="12">
        <f>0/6</f>
        <v>0</v>
      </c>
      <c r="E4" s="12">
        <f>1/13</f>
        <v>0.07692307692</v>
      </c>
      <c r="F4" s="12">
        <f t="shared" ref="F4:G4" si="2">0</f>
        <v>0</v>
      </c>
      <c r="G4" s="12">
        <f t="shared" si="2"/>
        <v>0</v>
      </c>
      <c r="H4" s="12">
        <f>1/13</f>
        <v>0.07692307692</v>
      </c>
      <c r="I4" s="13"/>
    </row>
    <row r="5">
      <c r="A5" s="10">
        <v>45904.0</v>
      </c>
      <c r="B5" s="11">
        <f>6/6</f>
        <v>1</v>
      </c>
      <c r="C5" s="12">
        <f>2/6</f>
        <v>0.3333333333</v>
      </c>
      <c r="D5" s="12">
        <f>4/6</f>
        <v>0.6666666667</v>
      </c>
      <c r="E5" s="12">
        <f t="shared" ref="E5:H5" si="3">0</f>
        <v>0</v>
      </c>
      <c r="F5" s="12">
        <f t="shared" si="3"/>
        <v>0</v>
      </c>
      <c r="G5" s="12">
        <f t="shared" si="3"/>
        <v>0</v>
      </c>
      <c r="H5" s="12">
        <f t="shared" si="3"/>
        <v>0</v>
      </c>
      <c r="I5" s="13"/>
    </row>
    <row r="6">
      <c r="A6" s="10">
        <v>45905.0</v>
      </c>
      <c r="B6" s="11">
        <f>5/6</f>
        <v>0.8333333333</v>
      </c>
      <c r="C6" s="12">
        <f>1/6</f>
        <v>0.1666666667</v>
      </c>
      <c r="D6" s="12">
        <f>0/6</f>
        <v>0</v>
      </c>
      <c r="E6" s="12">
        <f>1/13</f>
        <v>0.07692307692</v>
      </c>
      <c r="F6" s="12">
        <f t="shared" ref="F6:G6" si="4">0</f>
        <v>0</v>
      </c>
      <c r="G6" s="12">
        <f t="shared" si="4"/>
        <v>0</v>
      </c>
      <c r="H6" s="12">
        <f>1/13</f>
        <v>0.07692307692</v>
      </c>
      <c r="I6" s="13"/>
    </row>
    <row r="7">
      <c r="A7" s="14" t="s">
        <v>17</v>
      </c>
      <c r="B7" s="15">
        <f t="shared" ref="B7:H7" si="5">AVERAGE(B3:B6)</f>
        <v>0.875</v>
      </c>
      <c r="C7" s="15">
        <f t="shared" si="5"/>
        <v>0.3125</v>
      </c>
      <c r="D7" s="15">
        <f t="shared" si="5"/>
        <v>0.1666666667</v>
      </c>
      <c r="E7" s="15">
        <f t="shared" si="5"/>
        <v>0.03846153846</v>
      </c>
      <c r="F7" s="15">
        <f t="shared" si="5"/>
        <v>0</v>
      </c>
      <c r="G7" s="15">
        <f t="shared" si="5"/>
        <v>0</v>
      </c>
      <c r="H7" s="15">
        <f t="shared" si="5"/>
        <v>0.03846153846</v>
      </c>
      <c r="I7" s="16"/>
    </row>
    <row r="8">
      <c r="A8" s="10">
        <v>45908.0</v>
      </c>
      <c r="B8" s="11">
        <f>1/1</f>
        <v>1</v>
      </c>
      <c r="C8" s="12">
        <f t="shared" ref="C8:D8" si="6">0/1</f>
        <v>0</v>
      </c>
      <c r="D8" s="12">
        <f t="shared" si="6"/>
        <v>0</v>
      </c>
      <c r="E8" s="12">
        <f t="shared" ref="E8:H8" si="7">0</f>
        <v>0</v>
      </c>
      <c r="F8" s="12">
        <f t="shared" si="7"/>
        <v>0</v>
      </c>
      <c r="G8" s="12">
        <f t="shared" si="7"/>
        <v>0</v>
      </c>
      <c r="H8" s="12">
        <f t="shared" si="7"/>
        <v>0</v>
      </c>
      <c r="I8" s="13"/>
    </row>
    <row r="9">
      <c r="A9" s="10">
        <v>45909.0</v>
      </c>
      <c r="B9" s="11">
        <f>4/6</f>
        <v>0.6666666667</v>
      </c>
      <c r="C9" s="17">
        <f>1/6</f>
        <v>0.1666666667</v>
      </c>
      <c r="D9" s="17">
        <f>2/7</f>
        <v>0.2857142857</v>
      </c>
      <c r="E9" s="12">
        <f>1/13</f>
        <v>0.07692307692</v>
      </c>
      <c r="F9" s="17">
        <f t="shared" ref="F9:G9" si="8">0</f>
        <v>0</v>
      </c>
      <c r="G9" s="17">
        <f t="shared" si="8"/>
        <v>0</v>
      </c>
      <c r="H9" s="17">
        <f>1/13</f>
        <v>0.07692307692</v>
      </c>
      <c r="I9" s="13"/>
    </row>
    <row r="10">
      <c r="A10" s="10">
        <v>45910.0</v>
      </c>
      <c r="B10" s="11">
        <f>4/4</f>
        <v>1</v>
      </c>
      <c r="C10" s="17">
        <f t="shared" ref="C10:D10" si="9">2/4</f>
        <v>0.5</v>
      </c>
      <c r="D10" s="12">
        <f t="shared" si="9"/>
        <v>0.5</v>
      </c>
      <c r="E10" s="12">
        <f>0</f>
        <v>0</v>
      </c>
      <c r="F10" s="12">
        <f>1/13</f>
        <v>0.07692307692</v>
      </c>
      <c r="G10" s="17">
        <f t="shared" ref="G10:H10" si="10">0</f>
        <v>0</v>
      </c>
      <c r="H10" s="17">
        <f t="shared" si="10"/>
        <v>0</v>
      </c>
      <c r="I10" s="18"/>
    </row>
    <row r="11">
      <c r="A11" s="10">
        <v>45911.0</v>
      </c>
      <c r="B11" s="11">
        <f t="shared" ref="B11:C11" si="11">1/2</f>
        <v>0.5</v>
      </c>
      <c r="C11" s="12">
        <f t="shared" si="11"/>
        <v>0.5</v>
      </c>
      <c r="D11" s="12">
        <f>3/4</f>
        <v>0.75</v>
      </c>
      <c r="E11" s="17">
        <v>0.0</v>
      </c>
      <c r="F11" s="17">
        <v>0.0</v>
      </c>
      <c r="G11" s="17">
        <v>0.0</v>
      </c>
      <c r="H11" s="12"/>
      <c r="I11" s="13"/>
    </row>
    <row r="12">
      <c r="A12" s="10">
        <v>45912.0</v>
      </c>
      <c r="B12" s="19">
        <f>3/3</f>
        <v>1</v>
      </c>
      <c r="C12" s="20">
        <f>2/3</f>
        <v>0.6666666667</v>
      </c>
      <c r="D12" s="20">
        <f>1/3</f>
        <v>0.3333333333</v>
      </c>
      <c r="E12" s="20">
        <f>1/10</f>
        <v>0.1</v>
      </c>
      <c r="F12" s="20">
        <f t="shared" ref="F12:G12" si="12">0/10</f>
        <v>0</v>
      </c>
      <c r="G12" s="21">
        <f t="shared" si="12"/>
        <v>0</v>
      </c>
      <c r="H12" s="20">
        <f>1/10</f>
        <v>0.1</v>
      </c>
      <c r="I12" s="13" t="s">
        <v>18</v>
      </c>
    </row>
    <row r="13">
      <c r="A13" s="22" t="s">
        <v>19</v>
      </c>
      <c r="B13" s="15">
        <f t="shared" ref="B13:H13" si="13">AVERAGE(B8:B12)</f>
        <v>0.8333333333</v>
      </c>
      <c r="C13" s="15">
        <f t="shared" si="13"/>
        <v>0.3666666667</v>
      </c>
      <c r="D13" s="15">
        <f t="shared" si="13"/>
        <v>0.3738095238</v>
      </c>
      <c r="E13" s="15">
        <f t="shared" si="13"/>
        <v>0.03538461538</v>
      </c>
      <c r="F13" s="15">
        <f t="shared" si="13"/>
        <v>0.01538461538</v>
      </c>
      <c r="G13" s="15">
        <f t="shared" si="13"/>
        <v>0</v>
      </c>
      <c r="H13" s="15">
        <f t="shared" si="13"/>
        <v>0.04423076923</v>
      </c>
      <c r="I13" s="16"/>
    </row>
    <row r="14">
      <c r="A14" s="10">
        <v>45915.0</v>
      </c>
      <c r="B14" s="19">
        <f>1/3</f>
        <v>0.3333333333</v>
      </c>
      <c r="C14" s="20">
        <f>0/3</f>
        <v>0</v>
      </c>
      <c r="D14" s="20">
        <f>1/4</f>
        <v>0.25</v>
      </c>
      <c r="E14" s="20">
        <f>1/13</f>
        <v>0.07692307692</v>
      </c>
      <c r="F14" s="20">
        <f t="shared" ref="F14:H14" si="14">0/13</f>
        <v>0</v>
      </c>
      <c r="G14" s="20">
        <f t="shared" si="14"/>
        <v>0</v>
      </c>
      <c r="H14" s="21">
        <f t="shared" si="14"/>
        <v>0</v>
      </c>
      <c r="I14" s="13"/>
    </row>
    <row r="15">
      <c r="A15" s="10">
        <v>45916.0</v>
      </c>
      <c r="B15" s="19">
        <f>3/6</f>
        <v>0.5</v>
      </c>
      <c r="C15" s="20">
        <f>0/6</f>
        <v>0</v>
      </c>
      <c r="D15" s="21">
        <f>2/6</f>
        <v>0.3333333333</v>
      </c>
      <c r="E15" s="21">
        <f>3/13</f>
        <v>0.2307692308</v>
      </c>
      <c r="F15" s="21">
        <f>1/13</f>
        <v>0.07692307692</v>
      </c>
      <c r="G15" s="21">
        <f>0/13</f>
        <v>0</v>
      </c>
      <c r="H15" s="21">
        <f>2/13</f>
        <v>0.1538461538</v>
      </c>
      <c r="I15" s="18"/>
    </row>
    <row r="16">
      <c r="A16" s="10">
        <v>45917.0</v>
      </c>
      <c r="B16" s="19"/>
      <c r="C16" s="21"/>
      <c r="D16" s="21">
        <f t="shared" ref="D16:D18" si="16">0/3</f>
        <v>0</v>
      </c>
      <c r="E16" s="21">
        <f t="shared" ref="E16:G16" si="15">0/13</f>
        <v>0</v>
      </c>
      <c r="F16" s="21">
        <f t="shared" si="15"/>
        <v>0</v>
      </c>
      <c r="G16" s="21">
        <f t="shared" si="15"/>
        <v>0</v>
      </c>
      <c r="H16" s="21">
        <f t="shared" ref="H16:H18" si="17">1/13</f>
        <v>0.07692307692</v>
      </c>
      <c r="I16" s="13" t="s">
        <v>20</v>
      </c>
    </row>
    <row r="17">
      <c r="A17" s="10">
        <v>45918.0</v>
      </c>
      <c r="B17" s="19">
        <f>5/13</f>
        <v>0.3846153846</v>
      </c>
      <c r="C17" s="20">
        <f>0/2</f>
        <v>0</v>
      </c>
      <c r="D17" s="21">
        <f t="shared" si="16"/>
        <v>0</v>
      </c>
      <c r="E17" s="21">
        <f>2/13</f>
        <v>0.1538461538</v>
      </c>
      <c r="F17" s="21">
        <f>1/13</f>
        <v>0.07692307692</v>
      </c>
      <c r="G17" s="21">
        <f t="shared" ref="G17:G18" si="19">0/13</f>
        <v>0</v>
      </c>
      <c r="H17" s="21">
        <f t="shared" si="17"/>
        <v>0.07692307692</v>
      </c>
      <c r="I17" s="13"/>
    </row>
    <row r="18">
      <c r="A18" s="10">
        <v>45919.0</v>
      </c>
      <c r="B18" s="19">
        <f>2/3</f>
        <v>0.6666666667</v>
      </c>
      <c r="C18" s="20">
        <f>1/3</f>
        <v>0.3333333333</v>
      </c>
      <c r="D18" s="20">
        <f t="shared" si="16"/>
        <v>0</v>
      </c>
      <c r="E18" s="21">
        <f t="shared" ref="E18:F18" si="18">1/13</f>
        <v>0.07692307692</v>
      </c>
      <c r="F18" s="21">
        <f t="shared" si="18"/>
        <v>0.07692307692</v>
      </c>
      <c r="G18" s="21">
        <f t="shared" si="19"/>
        <v>0</v>
      </c>
      <c r="H18" s="21">
        <f t="shared" si="17"/>
        <v>0.07692307692</v>
      </c>
      <c r="I18" s="13"/>
    </row>
    <row r="19">
      <c r="A19" s="22" t="s">
        <v>21</v>
      </c>
      <c r="B19" s="15">
        <f t="shared" ref="B19:H19" si="20">AVERAGE(B14:B18)</f>
        <v>0.4711538462</v>
      </c>
      <c r="C19" s="15">
        <f t="shared" si="20"/>
        <v>0.08333333333</v>
      </c>
      <c r="D19" s="15">
        <f t="shared" si="20"/>
        <v>0.1166666667</v>
      </c>
      <c r="E19" s="15">
        <f t="shared" si="20"/>
        <v>0.1076923077</v>
      </c>
      <c r="F19" s="15">
        <f t="shared" si="20"/>
        <v>0.04615384615</v>
      </c>
      <c r="G19" s="15">
        <f t="shared" si="20"/>
        <v>0</v>
      </c>
      <c r="H19" s="15">
        <f t="shared" si="20"/>
        <v>0.07692307692</v>
      </c>
      <c r="I19" s="16"/>
    </row>
    <row r="20">
      <c r="A20" s="10">
        <v>45922.0</v>
      </c>
      <c r="B20" s="19">
        <f t="shared" ref="B20:C20" si="21">2/4</f>
        <v>0.5</v>
      </c>
      <c r="C20" s="20">
        <f t="shared" si="21"/>
        <v>0.5</v>
      </c>
      <c r="D20" s="17">
        <v>0.25</v>
      </c>
      <c r="E20" s="21">
        <f>1/13</f>
        <v>0.07692307692</v>
      </c>
      <c r="F20" s="20">
        <f t="shared" ref="F20:G20" si="22">0/13</f>
        <v>0</v>
      </c>
      <c r="G20" s="20">
        <f t="shared" si="22"/>
        <v>0</v>
      </c>
      <c r="H20" s="21">
        <f>2/13</f>
        <v>0.1538461538</v>
      </c>
      <c r="I20" s="13"/>
    </row>
    <row r="21">
      <c r="A21" s="10">
        <v>45923.0</v>
      </c>
      <c r="B21" s="19">
        <f t="shared" ref="B21:B22" si="23">2/4</f>
        <v>0.5</v>
      </c>
      <c r="C21" s="21">
        <f t="shared" ref="C21:C22" si="24">0/4</f>
        <v>0</v>
      </c>
      <c r="D21" s="21">
        <f>1/4</f>
        <v>0.25</v>
      </c>
      <c r="E21" s="21">
        <f t="shared" ref="E21:E22" si="25">2/13</f>
        <v>0.1538461538</v>
      </c>
      <c r="F21" s="21">
        <f>1/13</f>
        <v>0.07692307692</v>
      </c>
      <c r="G21" s="21">
        <f t="shared" ref="G21:G24" si="26">0/13</f>
        <v>0</v>
      </c>
      <c r="H21" s="21">
        <f>1/13</f>
        <v>0.07692307692</v>
      </c>
      <c r="I21" s="13"/>
    </row>
    <row r="22">
      <c r="A22" s="10">
        <v>45924.0</v>
      </c>
      <c r="B22" s="19">
        <f t="shared" si="23"/>
        <v>0.5</v>
      </c>
      <c r="C22" s="21">
        <f t="shared" si="24"/>
        <v>0</v>
      </c>
      <c r="D22" s="21">
        <f>0/4</f>
        <v>0</v>
      </c>
      <c r="E22" s="21">
        <f t="shared" si="25"/>
        <v>0.1538461538</v>
      </c>
      <c r="F22" s="21">
        <f>2/13</f>
        <v>0.1538461538</v>
      </c>
      <c r="G22" s="21">
        <f t="shared" si="26"/>
        <v>0</v>
      </c>
      <c r="H22" s="21">
        <f>3/13</f>
        <v>0.2307692308</v>
      </c>
      <c r="I22" s="13"/>
    </row>
    <row r="23">
      <c r="A23" s="10">
        <v>45925.0</v>
      </c>
      <c r="B23" s="19">
        <f>2/3</f>
        <v>0.6666666667</v>
      </c>
      <c r="C23" s="21">
        <f>1/3</f>
        <v>0.3333333333</v>
      </c>
      <c r="D23" s="21">
        <f>2/4</f>
        <v>0.5</v>
      </c>
      <c r="E23" s="21">
        <f t="shared" ref="E23:F23" si="27">1/13</f>
        <v>0.07692307692</v>
      </c>
      <c r="F23" s="21">
        <f t="shared" si="27"/>
        <v>0.07692307692</v>
      </c>
      <c r="G23" s="21">
        <f t="shared" si="26"/>
        <v>0</v>
      </c>
      <c r="H23" s="20">
        <v>0.0769</v>
      </c>
      <c r="I23" s="13"/>
    </row>
    <row r="24">
      <c r="A24" s="10">
        <v>45926.0</v>
      </c>
      <c r="B24" s="19">
        <f t="shared" ref="B24:C24" si="28">0/13</f>
        <v>0</v>
      </c>
      <c r="C24" s="21">
        <f t="shared" si="28"/>
        <v>0</v>
      </c>
      <c r="D24" s="21">
        <f>1/3</f>
        <v>0.3333333333</v>
      </c>
      <c r="E24" s="21">
        <f>0/13</f>
        <v>0</v>
      </c>
      <c r="F24" s="21">
        <f>2/13</f>
        <v>0.1538461538</v>
      </c>
      <c r="G24" s="21">
        <f t="shared" si="26"/>
        <v>0</v>
      </c>
      <c r="H24" s="21">
        <f>4/13</f>
        <v>0.3076923077</v>
      </c>
      <c r="I24" s="13"/>
    </row>
    <row r="25">
      <c r="A25" s="22" t="s">
        <v>22</v>
      </c>
      <c r="B25" s="15">
        <f t="shared" ref="B25:H25" si="29">AVERAGE(B20:B24)</f>
        <v>0.4333333333</v>
      </c>
      <c r="C25" s="15">
        <f t="shared" si="29"/>
        <v>0.1666666667</v>
      </c>
      <c r="D25" s="15">
        <f t="shared" si="29"/>
        <v>0.2666666667</v>
      </c>
      <c r="E25" s="15">
        <f t="shared" si="29"/>
        <v>0.09230769231</v>
      </c>
      <c r="F25" s="15">
        <f t="shared" si="29"/>
        <v>0.09230769231</v>
      </c>
      <c r="G25" s="15">
        <f t="shared" si="29"/>
        <v>0</v>
      </c>
      <c r="H25" s="15">
        <f t="shared" si="29"/>
        <v>0.1692261538</v>
      </c>
      <c r="I25" s="16"/>
    </row>
    <row r="26">
      <c r="A26" s="10">
        <v>45929.0</v>
      </c>
      <c r="B26" s="19">
        <f>2/3</f>
        <v>0.6666666667</v>
      </c>
      <c r="C26" s="20">
        <f>1/3</f>
        <v>0.3333333333</v>
      </c>
      <c r="D26" s="20">
        <f>2/3</f>
        <v>0.6666666667</v>
      </c>
      <c r="E26" s="21">
        <f t="shared" ref="E26:F26" si="30">1/13</f>
        <v>0.07692307692</v>
      </c>
      <c r="F26" s="21">
        <f t="shared" si="30"/>
        <v>0.07692307692</v>
      </c>
      <c r="G26" s="21">
        <f>0/13</f>
        <v>0</v>
      </c>
      <c r="H26" s="21">
        <f t="shared" ref="H26:H27" si="32">4/13</f>
        <v>0.3076923077</v>
      </c>
      <c r="I26" s="13"/>
    </row>
    <row r="27">
      <c r="A27" s="10">
        <v>45930.0</v>
      </c>
      <c r="B27" s="19">
        <f>2/4</f>
        <v>0.5</v>
      </c>
      <c r="C27" s="20">
        <f t="shared" ref="C27:C28" si="33">0/4</f>
        <v>0</v>
      </c>
      <c r="D27" s="21">
        <f>1/5</f>
        <v>0.2</v>
      </c>
      <c r="E27" s="21">
        <f t="shared" ref="E27:G27" si="31">1/13</f>
        <v>0.07692307692</v>
      </c>
      <c r="F27" s="21">
        <f t="shared" si="31"/>
        <v>0.07692307692</v>
      </c>
      <c r="G27" s="21">
        <f t="shared" si="31"/>
        <v>0.07692307692</v>
      </c>
      <c r="H27" s="21">
        <f t="shared" si="32"/>
        <v>0.3076923077</v>
      </c>
      <c r="I27" s="13"/>
    </row>
    <row r="28">
      <c r="A28" s="10">
        <v>45931.0</v>
      </c>
      <c r="B28" s="19">
        <f>1/4</f>
        <v>0.25</v>
      </c>
      <c r="C28" s="21">
        <f t="shared" si="33"/>
        <v>0</v>
      </c>
      <c r="D28" s="21">
        <f t="shared" ref="D28:D29" si="34">2/4</f>
        <v>0.5</v>
      </c>
      <c r="E28" s="21">
        <f>1/13</f>
        <v>0.07692307692</v>
      </c>
      <c r="F28" s="21">
        <f>2/13</f>
        <v>0.1538461538</v>
      </c>
      <c r="G28" s="21">
        <f t="shared" ref="G28:G29" si="35">0/13</f>
        <v>0</v>
      </c>
      <c r="H28" s="21">
        <f>3/13</f>
        <v>0.2307692308</v>
      </c>
      <c r="I28" s="13"/>
    </row>
    <row r="29">
      <c r="A29" s="10">
        <v>45932.0</v>
      </c>
      <c r="B29" s="19">
        <f>3/4</f>
        <v>0.75</v>
      </c>
      <c r="C29" s="21">
        <f>1/4</f>
        <v>0.25</v>
      </c>
      <c r="D29" s="21">
        <f t="shared" si="34"/>
        <v>0.5</v>
      </c>
      <c r="E29" s="21">
        <f>0/4</f>
        <v>0</v>
      </c>
      <c r="F29" s="21">
        <f>3/13</f>
        <v>0.2307692308</v>
      </c>
      <c r="G29" s="21">
        <f t="shared" si="35"/>
        <v>0</v>
      </c>
      <c r="H29" s="21">
        <f>1/13</f>
        <v>0.07692307692</v>
      </c>
      <c r="I29" s="13"/>
    </row>
    <row r="30">
      <c r="A30" s="10">
        <v>45933.0</v>
      </c>
      <c r="B30" s="19">
        <f>1/2</f>
        <v>0.5</v>
      </c>
      <c r="C30" s="21">
        <f>0/2</f>
        <v>0</v>
      </c>
      <c r="D30" s="21">
        <f>1/2</f>
        <v>0.5</v>
      </c>
      <c r="E30" s="21">
        <f t="shared" ref="E30:G30" si="36">0/13</f>
        <v>0</v>
      </c>
      <c r="F30" s="21">
        <f t="shared" si="36"/>
        <v>0</v>
      </c>
      <c r="G30" s="21">
        <f t="shared" si="36"/>
        <v>0</v>
      </c>
      <c r="H30" s="21">
        <f>2/13</f>
        <v>0.1538461538</v>
      </c>
      <c r="I30" s="18"/>
    </row>
    <row r="31">
      <c r="A31" s="23" t="s">
        <v>23</v>
      </c>
      <c r="B31" s="15">
        <f t="shared" ref="B31:H31" si="37">AVERAGE(B26:B30)</f>
        <v>0.5333333333</v>
      </c>
      <c r="C31" s="15">
        <f t="shared" si="37"/>
        <v>0.1166666667</v>
      </c>
      <c r="D31" s="15">
        <f t="shared" si="37"/>
        <v>0.4733333333</v>
      </c>
      <c r="E31" s="15">
        <f t="shared" si="37"/>
        <v>0.04615384615</v>
      </c>
      <c r="F31" s="15">
        <f t="shared" si="37"/>
        <v>0.1076923077</v>
      </c>
      <c r="G31" s="15">
        <f t="shared" si="37"/>
        <v>0.01538461538</v>
      </c>
      <c r="H31" s="15">
        <f t="shared" si="37"/>
        <v>0.2153846154</v>
      </c>
      <c r="I31" s="16"/>
    </row>
    <row r="32">
      <c r="A32" s="10">
        <v>45937.0</v>
      </c>
      <c r="B32" s="19">
        <f t="shared" ref="B32:D32" si="38">1/1</f>
        <v>1</v>
      </c>
      <c r="C32" s="20">
        <f t="shared" si="38"/>
        <v>1</v>
      </c>
      <c r="D32" s="21">
        <f t="shared" si="38"/>
        <v>1</v>
      </c>
      <c r="E32" s="21">
        <f t="shared" ref="E32:H32" si="39">0/8</f>
        <v>0</v>
      </c>
      <c r="F32" s="21">
        <f t="shared" si="39"/>
        <v>0</v>
      </c>
      <c r="G32" s="21">
        <f t="shared" si="39"/>
        <v>0</v>
      </c>
      <c r="H32" s="21">
        <f t="shared" si="39"/>
        <v>0</v>
      </c>
      <c r="I32" s="13" t="s">
        <v>24</v>
      </c>
    </row>
    <row r="33">
      <c r="A33" s="10">
        <v>45938.0</v>
      </c>
      <c r="B33" s="19">
        <f t="shared" ref="B33:C33" si="40">1/4</f>
        <v>0.25</v>
      </c>
      <c r="C33" s="20">
        <f t="shared" si="40"/>
        <v>0.25</v>
      </c>
      <c r="D33" s="21">
        <f>2/6</f>
        <v>0.3333333333</v>
      </c>
      <c r="E33" s="21">
        <f t="shared" ref="E33:E34" si="43">1/13</f>
        <v>0.07692307692</v>
      </c>
      <c r="F33" s="21">
        <f t="shared" ref="F33:G33" si="41">0/13</f>
        <v>0</v>
      </c>
      <c r="G33" s="21">
        <f t="shared" si="41"/>
        <v>0</v>
      </c>
      <c r="H33" s="21">
        <f>2/13</f>
        <v>0.1538461538</v>
      </c>
      <c r="I33" s="13" t="s">
        <v>25</v>
      </c>
    </row>
    <row r="34">
      <c r="A34" s="10">
        <v>45939.0</v>
      </c>
      <c r="B34" s="19">
        <f>1/5</f>
        <v>0.2</v>
      </c>
      <c r="C34" s="20">
        <f t="shared" ref="C34:D34" si="42">0/5</f>
        <v>0</v>
      </c>
      <c r="D34" s="21">
        <f t="shared" si="42"/>
        <v>0</v>
      </c>
      <c r="E34" s="21">
        <f t="shared" si="43"/>
        <v>0.07692307692</v>
      </c>
      <c r="F34" s="21">
        <f t="shared" ref="F34:G34" si="44">0/13</f>
        <v>0</v>
      </c>
      <c r="G34" s="21">
        <f t="shared" si="44"/>
        <v>0</v>
      </c>
      <c r="H34" s="21">
        <f>1/13</f>
        <v>0.07692307692</v>
      </c>
      <c r="I34" s="13" t="s">
        <v>25</v>
      </c>
    </row>
    <row r="35">
      <c r="A35" s="24">
        <v>45940.0</v>
      </c>
      <c r="B35" s="25">
        <f>2/4</f>
        <v>0.5</v>
      </c>
      <c r="C35" s="20">
        <f>1/4</f>
        <v>0.25</v>
      </c>
      <c r="D35" s="20">
        <f>0/6</f>
        <v>0</v>
      </c>
      <c r="E35" s="21">
        <f>0/13</f>
        <v>0</v>
      </c>
      <c r="F35" s="21">
        <f>3/13</f>
        <v>0.2307692308</v>
      </c>
      <c r="G35" s="21">
        <f t="shared" ref="G35:H35" si="45">0/13</f>
        <v>0</v>
      </c>
      <c r="H35" s="21">
        <f t="shared" si="45"/>
        <v>0</v>
      </c>
      <c r="I35" s="18"/>
    </row>
    <row r="36">
      <c r="A36" s="22" t="s">
        <v>26</v>
      </c>
      <c r="B36" s="15">
        <f t="shared" ref="B36:H36" si="46">AVERAGE(B32:B35)</f>
        <v>0.4875</v>
      </c>
      <c r="C36" s="15">
        <f t="shared" si="46"/>
        <v>0.375</v>
      </c>
      <c r="D36" s="15">
        <f t="shared" si="46"/>
        <v>0.3333333333</v>
      </c>
      <c r="E36" s="15">
        <f t="shared" si="46"/>
        <v>0.03846153846</v>
      </c>
      <c r="F36" s="15">
        <f t="shared" si="46"/>
        <v>0.05769230769</v>
      </c>
      <c r="G36" s="15">
        <f t="shared" si="46"/>
        <v>0</v>
      </c>
      <c r="H36" s="15">
        <f t="shared" si="46"/>
        <v>0.05769230769</v>
      </c>
      <c r="I36" s="16"/>
    </row>
    <row r="37">
      <c r="A37" s="24">
        <v>45943.0</v>
      </c>
      <c r="B37" s="25">
        <f>1/6</f>
        <v>0.1666666667</v>
      </c>
      <c r="C37" s="20">
        <f t="shared" ref="C37:D37" si="47">0/6</f>
        <v>0</v>
      </c>
      <c r="D37" s="21">
        <f t="shared" si="47"/>
        <v>0</v>
      </c>
      <c r="E37" s="21">
        <f t="shared" ref="E37:E39" si="48">0/13</f>
        <v>0</v>
      </c>
      <c r="F37" s="21">
        <f>5/13</f>
        <v>0.3846153846</v>
      </c>
      <c r="G37" s="20">
        <f>0/13</f>
        <v>0</v>
      </c>
      <c r="H37" s="21">
        <f>3/13</f>
        <v>0.2307692308</v>
      </c>
      <c r="I37" s="13"/>
    </row>
    <row r="38">
      <c r="A38" s="10">
        <v>45944.0</v>
      </c>
      <c r="B38" s="19">
        <f>1/3</f>
        <v>0.3333333333</v>
      </c>
      <c r="C38" s="20">
        <f>0/13</f>
        <v>0</v>
      </c>
      <c r="D38" s="21">
        <f>1/3</f>
        <v>0.3333333333</v>
      </c>
      <c r="E38" s="21">
        <f t="shared" si="48"/>
        <v>0</v>
      </c>
      <c r="F38" s="21">
        <f t="shared" ref="F38:G38" si="49">0/13</f>
        <v>0</v>
      </c>
      <c r="G38" s="20">
        <f t="shared" si="49"/>
        <v>0</v>
      </c>
      <c r="H38" s="21">
        <f>2/13</f>
        <v>0.1538461538</v>
      </c>
      <c r="I38" s="13"/>
    </row>
    <row r="39">
      <c r="A39" s="24">
        <v>45945.0</v>
      </c>
      <c r="B39" s="25">
        <f t="shared" ref="B39:D39" si="50">1/2</f>
        <v>0.5</v>
      </c>
      <c r="C39" s="20">
        <f t="shared" si="50"/>
        <v>0.5</v>
      </c>
      <c r="D39" s="20">
        <f t="shared" si="50"/>
        <v>0.5</v>
      </c>
      <c r="E39" s="21">
        <f t="shared" si="48"/>
        <v>0</v>
      </c>
      <c r="F39" s="21">
        <f>1/13</f>
        <v>0.07692307692</v>
      </c>
      <c r="G39" s="20">
        <f t="shared" ref="G39:H39" si="51">0/13</f>
        <v>0</v>
      </c>
      <c r="H39" s="21">
        <f t="shared" si="51"/>
        <v>0</v>
      </c>
      <c r="I39" s="13"/>
    </row>
    <row r="40">
      <c r="A40" s="22" t="s">
        <v>27</v>
      </c>
      <c r="B40" s="15">
        <f t="shared" ref="B40:H40" si="52">AVERAGE(B37:B39)</f>
        <v>0.3333333333</v>
      </c>
      <c r="C40" s="15">
        <f t="shared" si="52"/>
        <v>0.1666666667</v>
      </c>
      <c r="D40" s="15">
        <f t="shared" si="52"/>
        <v>0.2777777778</v>
      </c>
      <c r="E40" s="15">
        <f t="shared" si="52"/>
        <v>0</v>
      </c>
      <c r="F40" s="15">
        <f t="shared" si="52"/>
        <v>0.1538461538</v>
      </c>
      <c r="G40" s="15">
        <f t="shared" si="52"/>
        <v>0</v>
      </c>
      <c r="H40" s="15">
        <f t="shared" si="52"/>
        <v>0.1282051282</v>
      </c>
      <c r="I40" s="16"/>
    </row>
    <row r="41">
      <c r="A41" s="24">
        <v>45951.0</v>
      </c>
      <c r="B41" s="25">
        <f>2/4</f>
        <v>0.5</v>
      </c>
      <c r="C41" s="21">
        <f>1/4</f>
        <v>0.25</v>
      </c>
      <c r="D41" s="20">
        <f t="shared" ref="D41:D42" si="54">2/4</f>
        <v>0.5</v>
      </c>
      <c r="E41" s="21">
        <f t="shared" ref="E41:F41" si="53">1/13</f>
        <v>0.07692307692</v>
      </c>
      <c r="F41" s="21">
        <f t="shared" si="53"/>
        <v>0.07692307692</v>
      </c>
      <c r="G41" s="21">
        <f t="shared" ref="G41:G44" si="56">0/13</f>
        <v>0</v>
      </c>
      <c r="H41" s="21">
        <f>3/13</f>
        <v>0.2307692308</v>
      </c>
      <c r="I41" s="13"/>
    </row>
    <row r="42">
      <c r="A42" s="10">
        <v>45952.0</v>
      </c>
      <c r="B42" s="19">
        <f>1/3</f>
        <v>0.3333333333</v>
      </c>
      <c r="C42" s="21">
        <f>0/3</f>
        <v>0</v>
      </c>
      <c r="D42" s="21">
        <f t="shared" si="54"/>
        <v>0.5</v>
      </c>
      <c r="E42" s="21">
        <f t="shared" ref="E42:F42" si="55">1/13</f>
        <v>0.07692307692</v>
      </c>
      <c r="F42" s="21">
        <f t="shared" si="55"/>
        <v>0.07692307692</v>
      </c>
      <c r="G42" s="21">
        <f t="shared" si="56"/>
        <v>0</v>
      </c>
      <c r="H42" s="21">
        <f>1/13</f>
        <v>0.07692307692</v>
      </c>
      <c r="I42" s="13"/>
    </row>
    <row r="43">
      <c r="A43" s="10">
        <v>45953.0</v>
      </c>
      <c r="B43" s="19">
        <f>1/4</f>
        <v>0.25</v>
      </c>
      <c r="C43" s="21">
        <f>0/4</f>
        <v>0</v>
      </c>
      <c r="D43" s="21">
        <f>1/3</f>
        <v>0.3333333333</v>
      </c>
      <c r="E43" s="21">
        <f>3/13</f>
        <v>0.2307692308</v>
      </c>
      <c r="F43" s="21">
        <f t="shared" ref="F43:F44" si="57">1/13</f>
        <v>0.07692307692</v>
      </c>
      <c r="G43" s="21">
        <f t="shared" si="56"/>
        <v>0</v>
      </c>
      <c r="H43" s="21">
        <f t="shared" ref="H43:H44" si="58">0/13</f>
        <v>0</v>
      </c>
      <c r="I43" s="13"/>
    </row>
    <row r="44">
      <c r="A44" s="10">
        <v>45954.0</v>
      </c>
      <c r="B44" s="19">
        <f>1/2</f>
        <v>0.5</v>
      </c>
      <c r="C44" s="21">
        <f>0/2</f>
        <v>0</v>
      </c>
      <c r="D44" s="21">
        <f>0/3</f>
        <v>0</v>
      </c>
      <c r="E44" s="21">
        <f>0/13</f>
        <v>0</v>
      </c>
      <c r="F44" s="21">
        <f t="shared" si="57"/>
        <v>0.07692307692</v>
      </c>
      <c r="G44" s="21">
        <f t="shared" si="56"/>
        <v>0</v>
      </c>
      <c r="H44" s="21">
        <f t="shared" si="58"/>
        <v>0</v>
      </c>
      <c r="I44" s="13"/>
    </row>
    <row r="45">
      <c r="A45" s="23" t="s">
        <v>28</v>
      </c>
      <c r="B45" s="15">
        <f t="shared" ref="B45:H45" si="59">AVERAGE(B41:B44)</f>
        <v>0.3958333333</v>
      </c>
      <c r="C45" s="15">
        <f t="shared" si="59"/>
        <v>0.0625</v>
      </c>
      <c r="D45" s="15">
        <f t="shared" si="59"/>
        <v>0.3333333333</v>
      </c>
      <c r="E45" s="15">
        <f t="shared" si="59"/>
        <v>0.09615384615</v>
      </c>
      <c r="F45" s="15">
        <f t="shared" si="59"/>
        <v>0.07692307692</v>
      </c>
      <c r="G45" s="15">
        <f t="shared" si="59"/>
        <v>0</v>
      </c>
      <c r="H45" s="15">
        <f t="shared" si="59"/>
        <v>0.07692307692</v>
      </c>
      <c r="I45" s="16"/>
    </row>
    <row r="46">
      <c r="A46" s="10">
        <v>45957.0</v>
      </c>
      <c r="B46" s="19">
        <f>3/6</f>
        <v>0.5</v>
      </c>
      <c r="C46" s="21">
        <f>2/6</f>
        <v>0.3333333333</v>
      </c>
      <c r="D46" s="21">
        <f>4/5</f>
        <v>0.8</v>
      </c>
      <c r="E46" s="21">
        <f>4/13</f>
        <v>0.3076923077</v>
      </c>
      <c r="F46" s="21">
        <f t="shared" ref="F46:G46" si="60">0/13</f>
        <v>0</v>
      </c>
      <c r="G46" s="21">
        <f t="shared" si="60"/>
        <v>0</v>
      </c>
      <c r="H46" s="21">
        <f>4/13</f>
        <v>0.3076923077</v>
      </c>
      <c r="I46" s="13" t="s">
        <v>29</v>
      </c>
    </row>
    <row r="47">
      <c r="A47" s="10">
        <v>45958.0</v>
      </c>
      <c r="B47" s="19">
        <f t="shared" ref="B47:D47" si="61">1/3</f>
        <v>0.3333333333</v>
      </c>
      <c r="C47" s="21">
        <f t="shared" si="61"/>
        <v>0.3333333333</v>
      </c>
      <c r="D47" s="21">
        <f t="shared" si="61"/>
        <v>0.3333333333</v>
      </c>
      <c r="E47" s="21">
        <f t="shared" ref="E47:E50" si="64">0/13</f>
        <v>0</v>
      </c>
      <c r="F47" s="21">
        <f>3/13</f>
        <v>0.2307692308</v>
      </c>
      <c r="G47" s="20">
        <f t="shared" ref="G47:H47" si="62">0/13</f>
        <v>0</v>
      </c>
      <c r="H47" s="21">
        <f t="shared" si="62"/>
        <v>0</v>
      </c>
      <c r="I47" s="13"/>
    </row>
    <row r="48">
      <c r="A48" s="10">
        <v>45959.0</v>
      </c>
      <c r="B48" s="19">
        <f t="shared" ref="B48:D48" si="63">0/1</f>
        <v>0</v>
      </c>
      <c r="C48" s="21">
        <f t="shared" si="63"/>
        <v>0</v>
      </c>
      <c r="D48" s="21">
        <f t="shared" si="63"/>
        <v>0</v>
      </c>
      <c r="E48" s="21">
        <f t="shared" si="64"/>
        <v>0</v>
      </c>
      <c r="F48" s="21">
        <f>1/13</f>
        <v>0.07692307692</v>
      </c>
      <c r="G48" s="21">
        <f t="shared" ref="G48:G50" si="66">0/13</f>
        <v>0</v>
      </c>
      <c r="H48" s="21">
        <f t="shared" ref="H48:H49" si="67">1/13</f>
        <v>0.07692307692</v>
      </c>
      <c r="I48" s="13"/>
    </row>
    <row r="49">
      <c r="A49" s="10">
        <v>45960.0</v>
      </c>
      <c r="B49" s="19">
        <f t="shared" ref="B49:D49" si="65">0/2</f>
        <v>0</v>
      </c>
      <c r="C49" s="21">
        <f t="shared" si="65"/>
        <v>0</v>
      </c>
      <c r="D49" s="21">
        <f t="shared" si="65"/>
        <v>0</v>
      </c>
      <c r="E49" s="21">
        <f t="shared" si="64"/>
        <v>0</v>
      </c>
      <c r="F49" s="21">
        <f>2/13</f>
        <v>0.1538461538</v>
      </c>
      <c r="G49" s="21">
        <f t="shared" si="66"/>
        <v>0</v>
      </c>
      <c r="H49" s="21">
        <f t="shared" si="67"/>
        <v>0.07692307692</v>
      </c>
      <c r="I49" s="13"/>
    </row>
    <row r="50">
      <c r="A50" s="10">
        <v>45961.0</v>
      </c>
      <c r="B50" s="19">
        <f t="shared" ref="B50:D50" si="68">0/1</f>
        <v>0</v>
      </c>
      <c r="C50" s="21">
        <f t="shared" si="68"/>
        <v>0</v>
      </c>
      <c r="D50" s="21">
        <f t="shared" si="68"/>
        <v>0</v>
      </c>
      <c r="E50" s="21">
        <f t="shared" si="64"/>
        <v>0</v>
      </c>
      <c r="F50" s="21">
        <f>1/13</f>
        <v>0.07692307692</v>
      </c>
      <c r="G50" s="21">
        <f t="shared" si="66"/>
        <v>0</v>
      </c>
      <c r="H50" s="21">
        <f>0/13</f>
        <v>0</v>
      </c>
      <c r="I50" s="13"/>
    </row>
    <row r="51">
      <c r="A51" s="23" t="s">
        <v>30</v>
      </c>
      <c r="B51" s="15">
        <f t="shared" ref="B51:H51" si="69">AVERAGE(B46:B50)</f>
        <v>0.1666666667</v>
      </c>
      <c r="C51" s="15">
        <f t="shared" si="69"/>
        <v>0.1333333333</v>
      </c>
      <c r="D51" s="15">
        <f t="shared" si="69"/>
        <v>0.2266666667</v>
      </c>
      <c r="E51" s="15">
        <f t="shared" si="69"/>
        <v>0.06153846154</v>
      </c>
      <c r="F51" s="15">
        <f t="shared" si="69"/>
        <v>0.1076923077</v>
      </c>
      <c r="G51" s="15">
        <f t="shared" si="69"/>
        <v>0</v>
      </c>
      <c r="H51" s="15">
        <f t="shared" si="69"/>
        <v>0.09230769231</v>
      </c>
      <c r="I51" s="16"/>
    </row>
    <row r="52">
      <c r="A52" s="10">
        <v>45964.0</v>
      </c>
      <c r="B52" s="19">
        <f t="shared" ref="B52:C52" si="70">0/5</f>
        <v>0</v>
      </c>
      <c r="C52" s="21">
        <f t="shared" si="70"/>
        <v>0</v>
      </c>
      <c r="D52" s="21">
        <f>3/5</f>
        <v>0.6</v>
      </c>
      <c r="E52" s="21">
        <f>2/13</f>
        <v>0.1538461538</v>
      </c>
      <c r="F52" s="21">
        <f>1/13</f>
        <v>0.07692307692</v>
      </c>
      <c r="G52" s="21">
        <f t="shared" ref="G52:G55" si="72">0/13</f>
        <v>0</v>
      </c>
      <c r="H52" s="21">
        <f t="shared" ref="H52:H54" si="73">1/13</f>
        <v>0.07692307692</v>
      </c>
      <c r="I52" s="18"/>
    </row>
    <row r="53">
      <c r="A53" s="10">
        <v>45965.0</v>
      </c>
      <c r="B53" s="19">
        <f t="shared" ref="B53:C53" si="71">2/5</f>
        <v>0.4</v>
      </c>
      <c r="C53" s="21">
        <f t="shared" si="71"/>
        <v>0.4</v>
      </c>
      <c r="D53" s="21">
        <f>2/4</f>
        <v>0.5</v>
      </c>
      <c r="E53" s="21">
        <f>0/13</f>
        <v>0</v>
      </c>
      <c r="F53" s="21">
        <f>2/13</f>
        <v>0.1538461538</v>
      </c>
      <c r="G53" s="21">
        <f t="shared" si="72"/>
        <v>0</v>
      </c>
      <c r="H53" s="21">
        <f t="shared" si="73"/>
        <v>0.07692307692</v>
      </c>
      <c r="I53" s="13"/>
    </row>
    <row r="54">
      <c r="A54" s="10">
        <v>45966.0</v>
      </c>
      <c r="B54" s="19">
        <f t="shared" ref="B54:D54" si="74">0/4</f>
        <v>0</v>
      </c>
      <c r="C54" s="21">
        <f t="shared" si="74"/>
        <v>0</v>
      </c>
      <c r="D54" s="21">
        <f t="shared" si="74"/>
        <v>0</v>
      </c>
      <c r="E54" s="21">
        <f>2/13</f>
        <v>0.1538461538</v>
      </c>
      <c r="F54" s="21">
        <f>3/13</f>
        <v>0.2307692308</v>
      </c>
      <c r="G54" s="21">
        <f t="shared" si="72"/>
        <v>0</v>
      </c>
      <c r="H54" s="21">
        <f t="shared" si="73"/>
        <v>0.07692307692</v>
      </c>
      <c r="I54" s="13"/>
    </row>
    <row r="55">
      <c r="A55" s="10">
        <v>45967.0</v>
      </c>
      <c r="B55" s="19">
        <f t="shared" ref="B55:C55" si="75">1/4</f>
        <v>0.25</v>
      </c>
      <c r="C55" s="21">
        <f t="shared" si="75"/>
        <v>0.25</v>
      </c>
      <c r="D55" s="21">
        <f>0/3</f>
        <v>0</v>
      </c>
      <c r="E55" s="21">
        <f>0/13</f>
        <v>0</v>
      </c>
      <c r="F55" s="21">
        <f>2/13</f>
        <v>0.1538461538</v>
      </c>
      <c r="G55" s="21">
        <f t="shared" si="72"/>
        <v>0</v>
      </c>
      <c r="H55" s="21">
        <f>2/13</f>
        <v>0.1538461538</v>
      </c>
      <c r="I55" s="13"/>
    </row>
    <row r="56">
      <c r="A56" s="10">
        <v>45968.0</v>
      </c>
      <c r="B56" s="19">
        <f>1/2</f>
        <v>0.5</v>
      </c>
      <c r="C56" s="21">
        <f>0/2</f>
        <v>0</v>
      </c>
      <c r="D56" s="21">
        <f>1/2</f>
        <v>0.5</v>
      </c>
      <c r="E56" s="21">
        <f>1/13</f>
        <v>0.07692307692</v>
      </c>
      <c r="F56" s="21">
        <f t="shared" ref="F56:G56" si="76">0/13</f>
        <v>0</v>
      </c>
      <c r="G56" s="21">
        <f t="shared" si="76"/>
        <v>0</v>
      </c>
      <c r="H56" s="21">
        <f>1/13</f>
        <v>0.07692307692</v>
      </c>
      <c r="I56" s="13"/>
    </row>
    <row r="57">
      <c r="A57" s="22" t="s">
        <v>31</v>
      </c>
      <c r="B57" s="15">
        <f t="shared" ref="B57:H57" si="77">AVERAGE(B52:B56)</f>
        <v>0.23</v>
      </c>
      <c r="C57" s="15">
        <f t="shared" si="77"/>
        <v>0.13</v>
      </c>
      <c r="D57" s="15">
        <f t="shared" si="77"/>
        <v>0.32</v>
      </c>
      <c r="E57" s="15">
        <f t="shared" si="77"/>
        <v>0.07692307692</v>
      </c>
      <c r="F57" s="15">
        <f t="shared" si="77"/>
        <v>0.1230769231</v>
      </c>
      <c r="G57" s="15">
        <f t="shared" si="77"/>
        <v>0</v>
      </c>
      <c r="H57" s="15">
        <f t="shared" si="77"/>
        <v>0.09230769231</v>
      </c>
      <c r="I57" s="16"/>
    </row>
    <row r="58">
      <c r="A58" s="10">
        <v>45971.0</v>
      </c>
      <c r="B58" s="19">
        <f>1/2</f>
        <v>0.5</v>
      </c>
      <c r="C58" s="21">
        <f>0/2</f>
        <v>0</v>
      </c>
      <c r="D58" s="21">
        <f>1/3</f>
        <v>0.3333333333</v>
      </c>
      <c r="E58" s="21">
        <f t="shared" ref="E58:F58" si="78">1/10</f>
        <v>0.1</v>
      </c>
      <c r="F58" s="21">
        <f t="shared" si="78"/>
        <v>0.1</v>
      </c>
      <c r="G58" s="21">
        <f t="shared" ref="G58:H58" si="79">0/10</f>
        <v>0</v>
      </c>
      <c r="H58" s="21">
        <f t="shared" si="79"/>
        <v>0</v>
      </c>
      <c r="I58" s="13" t="s">
        <v>32</v>
      </c>
    </row>
    <row r="59">
      <c r="A59" s="10">
        <v>45972.0</v>
      </c>
      <c r="B59" s="19">
        <f t="shared" ref="B59:C59" si="80">2/2</f>
        <v>1</v>
      </c>
      <c r="C59" s="21">
        <f t="shared" si="80"/>
        <v>1</v>
      </c>
      <c r="D59" s="21">
        <f>1/2</f>
        <v>0.5</v>
      </c>
      <c r="E59" s="21">
        <f>0/13</f>
        <v>0</v>
      </c>
      <c r="F59" s="21">
        <f>1/13</f>
        <v>0.07692307692</v>
      </c>
      <c r="G59" s="21">
        <f>0/13</f>
        <v>0</v>
      </c>
      <c r="H59" s="21">
        <f>1/13</f>
        <v>0.07692307692</v>
      </c>
      <c r="I59" s="13"/>
    </row>
    <row r="60">
      <c r="A60" s="10">
        <v>45973.0</v>
      </c>
      <c r="B60" s="19">
        <f t="shared" ref="B60:C60" si="81">2/6</f>
        <v>0.3333333333</v>
      </c>
      <c r="C60" s="21">
        <f t="shared" si="81"/>
        <v>0.3333333333</v>
      </c>
      <c r="D60" s="20">
        <f>1/5</f>
        <v>0.2</v>
      </c>
      <c r="E60" s="20">
        <f>1/13</f>
        <v>0.07692307692</v>
      </c>
      <c r="F60" s="21">
        <f>0/13</f>
        <v>0</v>
      </c>
      <c r="G60" s="20">
        <f>1/13</f>
        <v>0.07692307692</v>
      </c>
      <c r="H60" s="20">
        <f>3/13</f>
        <v>0.2307692308</v>
      </c>
      <c r="I60" s="13"/>
    </row>
    <row r="61">
      <c r="A61" s="10">
        <v>45974.0</v>
      </c>
      <c r="B61" s="19">
        <f>3/6</f>
        <v>0.5</v>
      </c>
      <c r="C61" s="21">
        <f>2/6</f>
        <v>0.3333333333</v>
      </c>
      <c r="D61" s="20">
        <f>0/6</f>
        <v>0</v>
      </c>
      <c r="E61" s="21">
        <f t="shared" ref="E61:E62" si="82">0/13</f>
        <v>0</v>
      </c>
      <c r="F61" s="21">
        <f t="shared" ref="F61:F62" si="83">2/13</f>
        <v>0.1538461538</v>
      </c>
      <c r="G61" s="20">
        <f t="shared" ref="G61:G62" si="84">0/13</f>
        <v>0</v>
      </c>
      <c r="H61" s="21">
        <f t="shared" ref="H61:H62" si="85">1/13</f>
        <v>0.07692307692</v>
      </c>
      <c r="I61" s="13"/>
    </row>
    <row r="62">
      <c r="A62" s="10">
        <v>45975.0</v>
      </c>
      <c r="B62" s="19">
        <f>2/4</f>
        <v>0.5</v>
      </c>
      <c r="C62" s="21">
        <f>0/4</f>
        <v>0</v>
      </c>
      <c r="D62" s="20">
        <f>2/5</f>
        <v>0.4</v>
      </c>
      <c r="E62" s="20">
        <f t="shared" si="82"/>
        <v>0</v>
      </c>
      <c r="F62" s="21">
        <f t="shared" si="83"/>
        <v>0.1538461538</v>
      </c>
      <c r="G62" s="20">
        <f t="shared" si="84"/>
        <v>0</v>
      </c>
      <c r="H62" s="21">
        <f t="shared" si="85"/>
        <v>0.07692307692</v>
      </c>
      <c r="I62" s="13"/>
    </row>
    <row r="63">
      <c r="A63" s="22" t="s">
        <v>33</v>
      </c>
      <c r="B63" s="15">
        <f t="shared" ref="B63:H63" si="86">AVERAGE(B58:B62)</f>
        <v>0.5666666667</v>
      </c>
      <c r="C63" s="15">
        <f t="shared" si="86"/>
        <v>0.3333333333</v>
      </c>
      <c r="D63" s="15">
        <f t="shared" si="86"/>
        <v>0.2866666667</v>
      </c>
      <c r="E63" s="15">
        <f t="shared" si="86"/>
        <v>0.03538461538</v>
      </c>
      <c r="F63" s="15">
        <f t="shared" si="86"/>
        <v>0.09692307692</v>
      </c>
      <c r="G63" s="15">
        <f t="shared" si="86"/>
        <v>0.01538461538</v>
      </c>
      <c r="H63" s="15">
        <f t="shared" si="86"/>
        <v>0.09230769231</v>
      </c>
      <c r="I63" s="16"/>
    </row>
    <row r="64">
      <c r="A64" s="10">
        <v>45978.0</v>
      </c>
      <c r="B64" s="19">
        <f>5/5</f>
        <v>1</v>
      </c>
      <c r="C64" s="21">
        <f>2/5</f>
        <v>0.4</v>
      </c>
      <c r="D64" s="21">
        <f>3/6</f>
        <v>0.5</v>
      </c>
      <c r="E64" s="21">
        <f>3/13</f>
        <v>0.2307692308</v>
      </c>
      <c r="F64" s="21">
        <f t="shared" ref="F64:G64" si="87">0/13</f>
        <v>0</v>
      </c>
      <c r="G64" s="20">
        <f t="shared" si="87"/>
        <v>0</v>
      </c>
      <c r="H64" s="21">
        <f>1/13</f>
        <v>0.07692307692</v>
      </c>
      <c r="I64" s="13"/>
    </row>
    <row r="65">
      <c r="A65" s="10">
        <v>45979.0</v>
      </c>
      <c r="B65" s="19">
        <f t="shared" ref="B65:C65" si="88">2/4</f>
        <v>0.5</v>
      </c>
      <c r="C65" s="21">
        <f t="shared" si="88"/>
        <v>0.5</v>
      </c>
      <c r="D65" s="20">
        <f>0/4</f>
        <v>0</v>
      </c>
      <c r="E65" s="21">
        <f t="shared" ref="E65:E66" si="89">0/13</f>
        <v>0</v>
      </c>
      <c r="F65" s="20">
        <f>2/13</f>
        <v>0.1538461538</v>
      </c>
      <c r="G65" s="20">
        <f>0/13</f>
        <v>0</v>
      </c>
      <c r="H65" s="21">
        <f>2/13</f>
        <v>0.1538461538</v>
      </c>
      <c r="I65" s="13"/>
    </row>
    <row r="66">
      <c r="A66" s="10">
        <v>45980.0</v>
      </c>
      <c r="B66" s="26">
        <v>0.0</v>
      </c>
      <c r="C66" s="27">
        <f>1/1</f>
        <v>1</v>
      </c>
      <c r="D66" s="27">
        <v>0.0</v>
      </c>
      <c r="E66" s="21">
        <f t="shared" si="89"/>
        <v>0</v>
      </c>
      <c r="F66" s="21">
        <f t="shared" ref="F66:H66" si="90">0/13</f>
        <v>0</v>
      </c>
      <c r="G66" s="21">
        <f t="shared" si="90"/>
        <v>0</v>
      </c>
      <c r="H66" s="21">
        <f t="shared" si="90"/>
        <v>0</v>
      </c>
      <c r="I66" s="13"/>
    </row>
    <row r="67">
      <c r="A67" s="10">
        <v>45981.0</v>
      </c>
      <c r="B67" s="19">
        <f>4/7</f>
        <v>0.5714285714</v>
      </c>
      <c r="C67" s="21">
        <f>2/7</f>
        <v>0.2857142857</v>
      </c>
      <c r="D67" s="21">
        <f>3/7</f>
        <v>0.4285714286</v>
      </c>
      <c r="E67" s="21">
        <f>3/13</f>
        <v>0.2307692308</v>
      </c>
      <c r="F67" s="21">
        <f>2/13</f>
        <v>0.1538461538</v>
      </c>
      <c r="G67" s="21">
        <f>0/13</f>
        <v>0</v>
      </c>
      <c r="H67" s="20">
        <f>1/13</f>
        <v>0.07692307692</v>
      </c>
      <c r="I67" s="18"/>
    </row>
    <row r="68">
      <c r="A68" s="10">
        <v>45982.0</v>
      </c>
      <c r="B68" s="19">
        <f>0/2</f>
        <v>0</v>
      </c>
      <c r="C68" s="21">
        <f t="shared" ref="C68:D68" si="91">2/4</f>
        <v>0.5</v>
      </c>
      <c r="D68" s="20">
        <f t="shared" si="91"/>
        <v>0.5</v>
      </c>
      <c r="E68" s="20">
        <f>1/13</f>
        <v>0.07692307692</v>
      </c>
      <c r="F68" s="20">
        <f>0/13</f>
        <v>0</v>
      </c>
      <c r="G68" s="20">
        <f t="shared" ref="G68:H68" si="92">1/13</f>
        <v>0.07692307692</v>
      </c>
      <c r="H68" s="21">
        <f t="shared" si="92"/>
        <v>0.07692307692</v>
      </c>
      <c r="I68" s="13"/>
    </row>
    <row r="69">
      <c r="A69" s="22" t="s">
        <v>34</v>
      </c>
      <c r="B69" s="15">
        <f t="shared" ref="B69:H69" si="93">AVERAGE(B64:B68)</f>
        <v>0.4142857143</v>
      </c>
      <c r="C69" s="15">
        <f t="shared" si="93"/>
        <v>0.5371428571</v>
      </c>
      <c r="D69" s="15">
        <f t="shared" si="93"/>
        <v>0.2857142857</v>
      </c>
      <c r="E69" s="15">
        <f t="shared" si="93"/>
        <v>0.1076923077</v>
      </c>
      <c r="F69" s="15">
        <f t="shared" si="93"/>
        <v>0.06153846154</v>
      </c>
      <c r="G69" s="15">
        <f t="shared" si="93"/>
        <v>0.01538461538</v>
      </c>
      <c r="H69" s="15">
        <f t="shared" si="93"/>
        <v>0.07692307692</v>
      </c>
      <c r="I69" s="16"/>
    </row>
    <row r="70">
      <c r="A70" s="10">
        <v>45992.0</v>
      </c>
      <c r="B70" s="19">
        <f>2/6</f>
        <v>0.3333333333</v>
      </c>
      <c r="C70" s="21">
        <f>1/6</f>
        <v>0.1666666667</v>
      </c>
      <c r="D70" s="20">
        <f>3/7</f>
        <v>0.4285714286</v>
      </c>
      <c r="E70" s="20">
        <f t="shared" ref="E70:E71" si="95">0/13</f>
        <v>0</v>
      </c>
      <c r="F70" s="21">
        <f>4/13</f>
        <v>0.3076923077</v>
      </c>
      <c r="G70" s="21">
        <f t="shared" ref="G70:H70" si="94">0/13</f>
        <v>0</v>
      </c>
      <c r="H70" s="21">
        <f t="shared" si="94"/>
        <v>0</v>
      </c>
      <c r="I70" s="13"/>
    </row>
    <row r="71">
      <c r="A71" s="10">
        <v>45993.0</v>
      </c>
      <c r="B71" s="19">
        <f>4/5</f>
        <v>0.8</v>
      </c>
      <c r="C71" s="21">
        <f>1/5</f>
        <v>0.2</v>
      </c>
      <c r="D71" s="20">
        <f>1/6</f>
        <v>0.1666666667</v>
      </c>
      <c r="E71" s="21">
        <f t="shared" si="95"/>
        <v>0</v>
      </c>
      <c r="F71" s="21">
        <f t="shared" ref="F71:F72" si="98">2/13</f>
        <v>0.1538461538</v>
      </c>
      <c r="G71" s="20">
        <f t="shared" ref="G71:H71" si="96">0/13</f>
        <v>0</v>
      </c>
      <c r="H71" s="21">
        <f t="shared" si="96"/>
        <v>0</v>
      </c>
      <c r="I71" s="13"/>
    </row>
    <row r="72">
      <c r="A72" s="10">
        <v>45994.0</v>
      </c>
      <c r="B72" s="19">
        <f t="shared" ref="B72:C72" si="97">1/4</f>
        <v>0.25</v>
      </c>
      <c r="C72" s="21">
        <f t="shared" si="97"/>
        <v>0.25</v>
      </c>
      <c r="D72" s="21">
        <f>2/5</f>
        <v>0.4</v>
      </c>
      <c r="E72" s="21">
        <f>1/13</f>
        <v>0.07692307692</v>
      </c>
      <c r="F72" s="21">
        <f t="shared" si="98"/>
        <v>0.1538461538</v>
      </c>
      <c r="G72" s="21">
        <f t="shared" ref="G72:G74" si="99">0/13</f>
        <v>0</v>
      </c>
      <c r="H72" s="21">
        <f>1/13</f>
        <v>0.07692307692</v>
      </c>
      <c r="I72" s="13"/>
    </row>
    <row r="73">
      <c r="A73" s="10">
        <v>45995.0</v>
      </c>
      <c r="B73" s="19">
        <f>6/8</f>
        <v>0.75</v>
      </c>
      <c r="C73" s="21">
        <f>1/8</f>
        <v>0.125</v>
      </c>
      <c r="D73" s="21">
        <f>2/6</f>
        <v>0.3333333333</v>
      </c>
      <c r="E73" s="21">
        <f>4/13</f>
        <v>0.3076923077</v>
      </c>
      <c r="F73" s="21">
        <f>1/13</f>
        <v>0.07692307692</v>
      </c>
      <c r="G73" s="21">
        <f t="shared" si="99"/>
        <v>0</v>
      </c>
      <c r="H73" s="21">
        <f>0/13</f>
        <v>0</v>
      </c>
      <c r="I73" s="13"/>
    </row>
    <row r="74">
      <c r="A74" s="10">
        <v>45996.0</v>
      </c>
      <c r="B74" s="19">
        <f>4/6</f>
        <v>0.6666666667</v>
      </c>
      <c r="C74" s="21">
        <f>0/6</f>
        <v>0</v>
      </c>
      <c r="D74" s="21">
        <f>3/6</f>
        <v>0.5</v>
      </c>
      <c r="E74" s="21">
        <f>1/13</f>
        <v>0.07692307692</v>
      </c>
      <c r="F74" s="21">
        <f>2/13</f>
        <v>0.1538461538</v>
      </c>
      <c r="G74" s="21">
        <f t="shared" si="99"/>
        <v>0</v>
      </c>
      <c r="H74" s="21">
        <f>4/13</f>
        <v>0.3076923077</v>
      </c>
      <c r="I74" s="13"/>
    </row>
    <row r="75">
      <c r="A75" s="22" t="s">
        <v>35</v>
      </c>
      <c r="B75" s="15">
        <f t="shared" ref="B75:H75" si="100">AVERAGE(B70:B74)</f>
        <v>0.56</v>
      </c>
      <c r="C75" s="15">
        <f t="shared" si="100"/>
        <v>0.1483333333</v>
      </c>
      <c r="D75" s="15">
        <f t="shared" si="100"/>
        <v>0.3657142857</v>
      </c>
      <c r="E75" s="15">
        <f t="shared" si="100"/>
        <v>0.09230769231</v>
      </c>
      <c r="F75" s="15">
        <f t="shared" si="100"/>
        <v>0.1692307692</v>
      </c>
      <c r="G75" s="15">
        <f t="shared" si="100"/>
        <v>0</v>
      </c>
      <c r="H75" s="15">
        <f t="shared" si="100"/>
        <v>0.07692307692</v>
      </c>
      <c r="I75" s="16"/>
    </row>
    <row r="76">
      <c r="A76" s="10">
        <v>45999.0</v>
      </c>
      <c r="B76" s="19">
        <f>3/8</f>
        <v>0.375</v>
      </c>
      <c r="C76" s="21">
        <f>1/8</f>
        <v>0.125</v>
      </c>
      <c r="D76" s="21">
        <f>2/9</f>
        <v>0.2222222222</v>
      </c>
      <c r="E76" s="21">
        <f>1/13</f>
        <v>0.07692307692</v>
      </c>
      <c r="F76" s="21">
        <f>3/13</f>
        <v>0.2307692308</v>
      </c>
      <c r="G76" s="21">
        <f>1/13</f>
        <v>0.07692307692</v>
      </c>
      <c r="H76" s="21">
        <f>4/13</f>
        <v>0.3076923077</v>
      </c>
      <c r="I76" s="13"/>
    </row>
    <row r="77">
      <c r="A77" s="10">
        <v>46000.0</v>
      </c>
      <c r="B77" s="19">
        <f>1/1</f>
        <v>1</v>
      </c>
      <c r="C77" s="21">
        <f>0/1</f>
        <v>0</v>
      </c>
      <c r="D77" s="27" t="s">
        <v>36</v>
      </c>
      <c r="E77" s="21">
        <f t="shared" ref="E77:H77" si="101">0/13</f>
        <v>0</v>
      </c>
      <c r="F77" s="21">
        <f t="shared" si="101"/>
        <v>0</v>
      </c>
      <c r="G77" s="21">
        <f t="shared" si="101"/>
        <v>0</v>
      </c>
      <c r="H77" s="21">
        <f t="shared" si="101"/>
        <v>0</v>
      </c>
      <c r="I77" s="13"/>
    </row>
    <row r="78">
      <c r="A78" s="10">
        <v>46001.0</v>
      </c>
      <c r="B78" s="19">
        <f>4/5</f>
        <v>0.8</v>
      </c>
      <c r="C78" s="21">
        <f>1/5</f>
        <v>0.2</v>
      </c>
      <c r="D78" s="21">
        <f>2/4</f>
        <v>0.5</v>
      </c>
      <c r="E78" s="21">
        <f>1/13</f>
        <v>0.07692307692</v>
      </c>
      <c r="F78" s="21">
        <f>2/13</f>
        <v>0.1538461538</v>
      </c>
      <c r="G78" s="21">
        <f t="shared" ref="G78:G79" si="102">0/13</f>
        <v>0</v>
      </c>
      <c r="H78" s="21">
        <f>2/13</f>
        <v>0.1538461538</v>
      </c>
      <c r="I78" s="13"/>
    </row>
    <row r="79">
      <c r="A79" s="10">
        <v>46002.0</v>
      </c>
      <c r="B79" s="19">
        <f>5/7</f>
        <v>0.7142857143</v>
      </c>
      <c r="C79" s="21">
        <f>1/7</f>
        <v>0.1428571429</v>
      </c>
      <c r="D79" s="21">
        <f>1/6</f>
        <v>0.1666666667</v>
      </c>
      <c r="E79" s="21">
        <f>3/13</f>
        <v>0.2307692308</v>
      </c>
      <c r="F79" s="21">
        <f>1/13</f>
        <v>0.07692307692</v>
      </c>
      <c r="G79" s="21">
        <f t="shared" si="102"/>
        <v>0</v>
      </c>
      <c r="H79" s="21">
        <f>3/13</f>
        <v>0.2307692308</v>
      </c>
      <c r="I79" s="13"/>
    </row>
    <row r="80">
      <c r="A80" s="10">
        <v>46003.0</v>
      </c>
      <c r="B80" s="19">
        <f t="shared" ref="B80:C80" si="103">1/3</f>
        <v>0.3333333333</v>
      </c>
      <c r="C80" s="21">
        <f t="shared" si="103"/>
        <v>0.3333333333</v>
      </c>
      <c r="D80" s="21">
        <f>1/2</f>
        <v>0.5</v>
      </c>
      <c r="E80" s="21">
        <f t="shared" ref="E80:F80" si="104">1/12</f>
        <v>0.08333333333</v>
      </c>
      <c r="F80" s="21">
        <f t="shared" si="104"/>
        <v>0.08333333333</v>
      </c>
      <c r="G80" s="21">
        <f>0/12</f>
        <v>0</v>
      </c>
      <c r="H80" s="21">
        <f>0/13</f>
        <v>0</v>
      </c>
      <c r="I80" s="13" t="s">
        <v>37</v>
      </c>
    </row>
    <row r="81">
      <c r="A81" s="14" t="s">
        <v>38</v>
      </c>
      <c r="B81" s="15">
        <f t="shared" ref="B81:H81" si="105">AVERAGE(B76:B80)</f>
        <v>0.6445238095</v>
      </c>
      <c r="C81" s="15">
        <f t="shared" si="105"/>
        <v>0.1602380952</v>
      </c>
      <c r="D81" s="15">
        <f t="shared" si="105"/>
        <v>0.3472222222</v>
      </c>
      <c r="E81" s="15">
        <f t="shared" si="105"/>
        <v>0.09358974359</v>
      </c>
      <c r="F81" s="15">
        <f t="shared" si="105"/>
        <v>0.108974359</v>
      </c>
      <c r="G81" s="15">
        <f t="shared" si="105"/>
        <v>0.01538461538</v>
      </c>
      <c r="H81" s="15">
        <f t="shared" si="105"/>
        <v>0.1384615385</v>
      </c>
      <c r="I81" s="16"/>
    </row>
    <row r="82">
      <c r="A82" s="10">
        <v>46006.0</v>
      </c>
      <c r="B82" s="19">
        <f>2/6</f>
        <v>0.3333333333</v>
      </c>
      <c r="C82" s="21">
        <f>0/6</f>
        <v>0</v>
      </c>
      <c r="D82" s="21">
        <f t="shared" ref="D82:E82" si="106">0/5</f>
        <v>0</v>
      </c>
      <c r="E82" s="21">
        <f t="shared" si="106"/>
        <v>0</v>
      </c>
      <c r="F82" s="21">
        <f>4/13</f>
        <v>0.3076923077</v>
      </c>
      <c r="G82" s="21">
        <f t="shared" ref="G82:G83" si="107">0/13</f>
        <v>0</v>
      </c>
      <c r="H82" s="21">
        <f>2/13</f>
        <v>0.1538461538</v>
      </c>
      <c r="I82" s="28"/>
    </row>
    <row r="83">
      <c r="A83" s="10">
        <v>46007.0</v>
      </c>
      <c r="B83" s="19">
        <f>1/2</f>
        <v>0.5</v>
      </c>
      <c r="C83" s="21">
        <f>0/2</f>
        <v>0</v>
      </c>
      <c r="D83" s="21">
        <f>1/2</f>
        <v>0.5</v>
      </c>
      <c r="E83" s="21">
        <f>0/13</f>
        <v>0</v>
      </c>
      <c r="F83" s="21">
        <f>2/13</f>
        <v>0.1538461538</v>
      </c>
      <c r="G83" s="21">
        <f t="shared" si="107"/>
        <v>0</v>
      </c>
      <c r="H83" s="21">
        <f>0/13</f>
        <v>0</v>
      </c>
      <c r="I83" s="13"/>
    </row>
    <row r="84">
      <c r="A84" s="10">
        <v>46008.0</v>
      </c>
      <c r="B84" s="19">
        <f>2/8</f>
        <v>0.25</v>
      </c>
      <c r="C84" s="21">
        <f>1/8</f>
        <v>0.125</v>
      </c>
      <c r="D84" s="21">
        <f>3/9</f>
        <v>0.3333333333</v>
      </c>
      <c r="E84" s="21">
        <f t="shared" ref="E84:F84" si="108">2/12</f>
        <v>0.1666666667</v>
      </c>
      <c r="F84" s="21">
        <f t="shared" si="108"/>
        <v>0.1666666667</v>
      </c>
      <c r="G84" s="21">
        <f>0/12</f>
        <v>0</v>
      </c>
      <c r="H84" s="21">
        <f>7/12</f>
        <v>0.5833333333</v>
      </c>
      <c r="I84" s="13" t="s">
        <v>39</v>
      </c>
    </row>
    <row r="85">
      <c r="A85" s="10">
        <v>46009.0</v>
      </c>
      <c r="B85" s="29"/>
      <c r="C85" s="20"/>
      <c r="D85" s="20"/>
      <c r="E85" s="21"/>
      <c r="F85" s="21"/>
      <c r="G85" s="20"/>
      <c r="H85" s="20"/>
      <c r="I85" s="13" t="s">
        <v>40</v>
      </c>
    </row>
    <row r="86">
      <c r="A86" s="10">
        <v>46010.0</v>
      </c>
      <c r="B86" s="19">
        <f t="shared" ref="B86:C86" si="109">1/4</f>
        <v>0.25</v>
      </c>
      <c r="C86" s="21">
        <f t="shared" si="109"/>
        <v>0.25</v>
      </c>
      <c r="D86" s="21">
        <f>4/5</f>
        <v>0.8</v>
      </c>
      <c r="E86" s="21">
        <f>0/13</f>
        <v>0</v>
      </c>
      <c r="F86" s="21">
        <f>2/13</f>
        <v>0.1538461538</v>
      </c>
      <c r="G86" s="21">
        <f>0/13</f>
        <v>0</v>
      </c>
      <c r="H86" s="21">
        <f>2/13</f>
        <v>0.1538461538</v>
      </c>
      <c r="I86" s="13" t="s">
        <v>41</v>
      </c>
    </row>
    <row r="87">
      <c r="A87" s="30" t="s">
        <v>42</v>
      </c>
      <c r="B87" s="15">
        <f t="shared" ref="B87:H87" si="110">AVERAGE(B82:B86)</f>
        <v>0.3333333333</v>
      </c>
      <c r="C87" s="15">
        <f t="shared" si="110"/>
        <v>0.09375</v>
      </c>
      <c r="D87" s="15">
        <f t="shared" si="110"/>
        <v>0.4083333333</v>
      </c>
      <c r="E87" s="15">
        <f t="shared" si="110"/>
        <v>0.04166666667</v>
      </c>
      <c r="F87" s="15">
        <f t="shared" si="110"/>
        <v>0.1955128205</v>
      </c>
      <c r="G87" s="15">
        <f t="shared" si="110"/>
        <v>0</v>
      </c>
      <c r="H87" s="15">
        <f t="shared" si="110"/>
        <v>0.2227564103</v>
      </c>
      <c r="I87" s="16"/>
    </row>
    <row r="88">
      <c r="A88" s="10">
        <v>46013.0</v>
      </c>
      <c r="B88" s="19">
        <f>4/7</f>
        <v>0.5714285714</v>
      </c>
      <c r="C88" s="20">
        <f>2/7</f>
        <v>0.2857142857</v>
      </c>
      <c r="D88" s="21">
        <f>4/7</f>
        <v>0.5714285714</v>
      </c>
      <c r="E88" s="21">
        <f>0/13</f>
        <v>0</v>
      </c>
      <c r="F88" s="21">
        <f>3/13</f>
        <v>0.2307692308</v>
      </c>
      <c r="G88" s="20">
        <f>0/13</f>
        <v>0</v>
      </c>
      <c r="H88" s="21">
        <f>3/13</f>
        <v>0.2307692308</v>
      </c>
      <c r="I88" s="13"/>
    </row>
    <row r="89">
      <c r="A89" s="24">
        <v>46014.0</v>
      </c>
      <c r="B89" s="25">
        <f t="shared" ref="B89:C89" si="111">1/1</f>
        <v>1</v>
      </c>
      <c r="C89" s="21">
        <f t="shared" si="111"/>
        <v>1</v>
      </c>
      <c r="D89" s="21">
        <f t="shared" ref="D89:H89" si="112">0/13</f>
        <v>0</v>
      </c>
      <c r="E89" s="21">
        <f t="shared" si="112"/>
        <v>0</v>
      </c>
      <c r="F89" s="21">
        <f t="shared" si="112"/>
        <v>0</v>
      </c>
      <c r="G89" s="21">
        <f t="shared" si="112"/>
        <v>0</v>
      </c>
      <c r="H89" s="21">
        <f t="shared" si="112"/>
        <v>0</v>
      </c>
      <c r="I89" s="18"/>
    </row>
    <row r="90">
      <c r="A90" s="23" t="s">
        <v>43</v>
      </c>
      <c r="B90" s="15">
        <f t="shared" ref="B90:H90" si="113">AVERAGE(B88:B89)</f>
        <v>0.7857142857</v>
      </c>
      <c r="C90" s="15">
        <f t="shared" si="113"/>
        <v>0.6428571429</v>
      </c>
      <c r="D90" s="15">
        <f t="shared" si="113"/>
        <v>0.2857142857</v>
      </c>
      <c r="E90" s="15">
        <f t="shared" si="113"/>
        <v>0</v>
      </c>
      <c r="F90" s="15">
        <f t="shared" si="113"/>
        <v>0.1153846154</v>
      </c>
      <c r="G90" s="15">
        <f t="shared" si="113"/>
        <v>0</v>
      </c>
      <c r="H90" s="15">
        <f t="shared" si="113"/>
        <v>0.1153846154</v>
      </c>
      <c r="I90" s="16"/>
    </row>
    <row r="91">
      <c r="A91" s="10">
        <v>46027.0</v>
      </c>
      <c r="B91" s="29">
        <f>1/1</f>
        <v>1</v>
      </c>
      <c r="C91" s="21">
        <f t="shared" ref="C91:D91" si="114">0/1</f>
        <v>0</v>
      </c>
      <c r="D91" s="21">
        <f t="shared" si="114"/>
        <v>0</v>
      </c>
      <c r="E91" s="21">
        <f>0/11</f>
        <v>0</v>
      </c>
      <c r="F91" s="21">
        <f>1/11</f>
        <v>0.09090909091</v>
      </c>
      <c r="G91" s="21">
        <f t="shared" ref="G91:H91" si="115">0/11</f>
        <v>0</v>
      </c>
      <c r="H91" s="21">
        <f t="shared" si="115"/>
        <v>0</v>
      </c>
      <c r="I91" s="13" t="s">
        <v>37</v>
      </c>
    </row>
    <row r="92">
      <c r="A92" s="10">
        <v>46028.0</v>
      </c>
      <c r="B92" s="19">
        <f t="shared" ref="B92:C92" si="116">2/2</f>
        <v>1</v>
      </c>
      <c r="C92" s="21">
        <f t="shared" si="116"/>
        <v>1</v>
      </c>
      <c r="D92" s="21">
        <f>0/2</f>
        <v>0</v>
      </c>
      <c r="E92" s="21">
        <f t="shared" ref="E92:F92" si="117">1/13</f>
        <v>0.07692307692</v>
      </c>
      <c r="F92" s="21">
        <f t="shared" si="117"/>
        <v>0.07692307692</v>
      </c>
      <c r="G92" s="21">
        <f t="shared" ref="G92:G93" si="118">0/13</f>
        <v>0</v>
      </c>
      <c r="H92" s="21">
        <f>1/13</f>
        <v>0.07692307692</v>
      </c>
      <c r="I92" s="13"/>
    </row>
    <row r="93">
      <c r="A93" s="10">
        <v>46029.0</v>
      </c>
      <c r="B93" s="19">
        <f>5/7</f>
        <v>0.7142857143</v>
      </c>
      <c r="C93" s="21">
        <f>1/7</f>
        <v>0.1428571429</v>
      </c>
      <c r="D93" s="21">
        <f>2/5</f>
        <v>0.4</v>
      </c>
      <c r="E93" s="21">
        <f>0/13</f>
        <v>0</v>
      </c>
      <c r="F93" s="21">
        <f>2/13</f>
        <v>0.1538461538</v>
      </c>
      <c r="G93" s="21">
        <f t="shared" si="118"/>
        <v>0</v>
      </c>
      <c r="H93" s="21">
        <f t="shared" ref="H93:H94" si="121">2/13</f>
        <v>0.1538461538</v>
      </c>
      <c r="I93" s="13"/>
    </row>
    <row r="94">
      <c r="A94" s="10">
        <v>46030.0</v>
      </c>
      <c r="B94" s="19">
        <f t="shared" ref="B94:C94" si="119">2/5</f>
        <v>0.4</v>
      </c>
      <c r="C94" s="21">
        <f t="shared" si="119"/>
        <v>0.4</v>
      </c>
      <c r="D94" s="20">
        <f>2/4</f>
        <v>0.5</v>
      </c>
      <c r="E94" s="21">
        <f t="shared" ref="E94:G94" si="120">1/13</f>
        <v>0.07692307692</v>
      </c>
      <c r="F94" s="21">
        <f t="shared" si="120"/>
        <v>0.07692307692</v>
      </c>
      <c r="G94" s="21">
        <f t="shared" si="120"/>
        <v>0.07692307692</v>
      </c>
      <c r="H94" s="21">
        <f t="shared" si="121"/>
        <v>0.1538461538</v>
      </c>
      <c r="I94" s="13"/>
    </row>
    <row r="95">
      <c r="A95" s="10">
        <v>46031.0</v>
      </c>
      <c r="B95" s="19"/>
      <c r="C95" s="21"/>
      <c r="D95" s="21"/>
      <c r="E95" s="21"/>
      <c r="F95" s="21"/>
      <c r="G95" s="21"/>
      <c r="H95" s="21"/>
      <c r="I95" s="13" t="s">
        <v>40</v>
      </c>
    </row>
    <row r="96">
      <c r="A96" s="23" t="s">
        <v>44</v>
      </c>
      <c r="B96" s="15">
        <f t="shared" ref="B96:H96" si="122">AVERAGE(B91:B95)</f>
        <v>0.7785714286</v>
      </c>
      <c r="C96" s="15">
        <f t="shared" si="122"/>
        <v>0.3857142857</v>
      </c>
      <c r="D96" s="15">
        <f t="shared" si="122"/>
        <v>0.225</v>
      </c>
      <c r="E96" s="15">
        <f t="shared" si="122"/>
        <v>0.03846153846</v>
      </c>
      <c r="F96" s="15">
        <f t="shared" si="122"/>
        <v>0.09965034965</v>
      </c>
      <c r="G96" s="15">
        <f t="shared" si="122"/>
        <v>0.01923076923</v>
      </c>
      <c r="H96" s="15">
        <f t="shared" si="122"/>
        <v>0.09615384615</v>
      </c>
      <c r="I96" s="16"/>
    </row>
    <row r="97">
      <c r="A97" s="10">
        <v>46034.0</v>
      </c>
      <c r="B97" s="19">
        <f t="shared" ref="B97:C97" si="123">1/3</f>
        <v>0.3333333333</v>
      </c>
      <c r="C97" s="21">
        <f t="shared" si="123"/>
        <v>0.3333333333</v>
      </c>
      <c r="D97" s="21">
        <f>1/2</f>
        <v>0.5</v>
      </c>
      <c r="E97" s="27">
        <f>0/13</f>
        <v>0</v>
      </c>
      <c r="F97" s="21">
        <f t="shared" ref="F97:F98" si="125">1/13</f>
        <v>0.07692307692</v>
      </c>
      <c r="G97" s="20">
        <f t="shared" ref="G97:H97" si="124">0/13</f>
        <v>0</v>
      </c>
      <c r="H97" s="21">
        <f t="shared" si="124"/>
        <v>0</v>
      </c>
      <c r="I97" s="13"/>
    </row>
    <row r="98">
      <c r="A98" s="10">
        <v>46035.0</v>
      </c>
      <c r="B98" s="19">
        <f>3/6</f>
        <v>0.5</v>
      </c>
      <c r="C98" s="20">
        <f>1/6</f>
        <v>0.1666666667</v>
      </c>
      <c r="D98" s="21">
        <f>2/5</f>
        <v>0.4</v>
      </c>
      <c r="E98" s="21">
        <f>2/13</f>
        <v>0.1538461538</v>
      </c>
      <c r="F98" s="21">
        <f t="shared" si="125"/>
        <v>0.07692307692</v>
      </c>
      <c r="G98" s="20">
        <f>0/13</f>
        <v>0</v>
      </c>
      <c r="H98" s="21">
        <f>1/13</f>
        <v>0.07692307692</v>
      </c>
      <c r="I98" s="13"/>
    </row>
    <row r="99">
      <c r="A99" s="10">
        <v>46036.0</v>
      </c>
      <c r="B99" s="19">
        <f t="shared" ref="B99:C99" si="126">1/6</f>
        <v>0.1666666667</v>
      </c>
      <c r="C99" s="21">
        <f t="shared" si="126"/>
        <v>0.1666666667</v>
      </c>
      <c r="D99" s="21">
        <f>2/6</f>
        <v>0.3333333333</v>
      </c>
      <c r="E99" s="20">
        <f>4/13</f>
        <v>0.3076923077</v>
      </c>
      <c r="F99" s="20">
        <f t="shared" ref="F99:G99" si="127">0/13</f>
        <v>0</v>
      </c>
      <c r="G99" s="20">
        <f t="shared" si="127"/>
        <v>0</v>
      </c>
      <c r="H99" s="21">
        <f>2/13</f>
        <v>0.1538461538</v>
      </c>
      <c r="I99" s="13"/>
    </row>
    <row r="100">
      <c r="A100" s="10">
        <v>46037.0</v>
      </c>
      <c r="B100" s="19">
        <f>1/6</f>
        <v>0.1666666667</v>
      </c>
      <c r="C100" s="21">
        <f>0/6</f>
        <v>0</v>
      </c>
      <c r="D100" s="21">
        <f>1/6</f>
        <v>0.1666666667</v>
      </c>
      <c r="E100" s="21">
        <f>1/13</f>
        <v>0.07692307692</v>
      </c>
      <c r="F100" s="21">
        <f>2/13</f>
        <v>0.1538461538</v>
      </c>
      <c r="G100" s="21">
        <f>0/13</f>
        <v>0</v>
      </c>
      <c r="H100" s="21">
        <f>3/13</f>
        <v>0.2307692308</v>
      </c>
      <c r="I100" s="18"/>
    </row>
    <row r="101">
      <c r="A101" s="24">
        <v>46038.0</v>
      </c>
      <c r="B101" s="25">
        <f>2/4</f>
        <v>0.5</v>
      </c>
      <c r="C101" s="21">
        <f t="shared" ref="C101:D101" si="128">1/4</f>
        <v>0.25</v>
      </c>
      <c r="D101" s="21">
        <f t="shared" si="128"/>
        <v>0.25</v>
      </c>
      <c r="E101" s="21">
        <f>3/13</f>
        <v>0.2307692308</v>
      </c>
      <c r="F101" s="21">
        <f t="shared" ref="F101:G101" si="129">0/13</f>
        <v>0</v>
      </c>
      <c r="G101" s="21">
        <f t="shared" si="129"/>
        <v>0</v>
      </c>
      <c r="H101" s="21">
        <f>1/13</f>
        <v>0.07692307692</v>
      </c>
      <c r="I101" s="13"/>
    </row>
    <row r="102">
      <c r="A102" s="23" t="s">
        <v>45</v>
      </c>
      <c r="B102" s="15">
        <f t="shared" ref="B102:H102" si="130">AVERAGE(B97:B101)</f>
        <v>0.3333333333</v>
      </c>
      <c r="C102" s="15">
        <f t="shared" si="130"/>
        <v>0.1833333333</v>
      </c>
      <c r="D102" s="15">
        <f t="shared" si="130"/>
        <v>0.33</v>
      </c>
      <c r="E102" s="15">
        <f t="shared" si="130"/>
        <v>0.1538461538</v>
      </c>
      <c r="F102" s="15">
        <f t="shared" si="130"/>
        <v>0.06153846154</v>
      </c>
      <c r="G102" s="15">
        <f t="shared" si="130"/>
        <v>0</v>
      </c>
      <c r="H102" s="15">
        <f t="shared" si="130"/>
        <v>0.1076923077</v>
      </c>
      <c r="I102" s="16"/>
    </row>
    <row r="103">
      <c r="A103" s="24">
        <v>46042.0</v>
      </c>
      <c r="B103" s="25">
        <f t="shared" ref="B103:C103" si="131">1/2</f>
        <v>0.5</v>
      </c>
      <c r="C103" s="21">
        <f t="shared" si="131"/>
        <v>0.5</v>
      </c>
      <c r="D103" s="21">
        <f>0/3</f>
        <v>0</v>
      </c>
      <c r="E103" s="21">
        <f>0/13</f>
        <v>0</v>
      </c>
      <c r="F103" s="21">
        <f>2/13</f>
        <v>0.1538461538</v>
      </c>
      <c r="G103" s="21">
        <f t="shared" ref="G103:H103" si="132">0/13</f>
        <v>0</v>
      </c>
      <c r="H103" s="21">
        <f t="shared" si="132"/>
        <v>0</v>
      </c>
      <c r="I103" s="13"/>
    </row>
    <row r="104">
      <c r="A104" s="10">
        <v>46043.0</v>
      </c>
      <c r="B104" s="29">
        <f>2/2</f>
        <v>1</v>
      </c>
      <c r="C104" s="21">
        <f>1/2</f>
        <v>0.5</v>
      </c>
      <c r="D104" s="21">
        <f>2/3</f>
        <v>0.6666666667</v>
      </c>
      <c r="E104" s="21">
        <f t="shared" ref="E104:G104" si="133">0/10</f>
        <v>0</v>
      </c>
      <c r="F104" s="21">
        <f t="shared" si="133"/>
        <v>0</v>
      </c>
      <c r="G104" s="21">
        <f t="shared" si="133"/>
        <v>0</v>
      </c>
      <c r="H104" s="21">
        <f>1/10</f>
        <v>0.1</v>
      </c>
      <c r="I104" s="28"/>
    </row>
    <row r="105">
      <c r="A105" s="10">
        <v>46044.0</v>
      </c>
      <c r="B105" s="19">
        <f t="shared" ref="B105:D105" si="134">0/4</f>
        <v>0</v>
      </c>
      <c r="C105" s="21">
        <f t="shared" si="134"/>
        <v>0</v>
      </c>
      <c r="D105" s="21">
        <f t="shared" si="134"/>
        <v>0</v>
      </c>
      <c r="E105" s="21">
        <f>0/13</f>
        <v>0</v>
      </c>
      <c r="F105" s="21">
        <f>1/13</f>
        <v>0.07692307692</v>
      </c>
      <c r="G105" s="21">
        <f>0/13</f>
        <v>0</v>
      </c>
      <c r="H105" s="21">
        <f>4/13</f>
        <v>0.3076923077</v>
      </c>
      <c r="I105" s="18"/>
    </row>
    <row r="106">
      <c r="A106" s="10">
        <v>46045.0</v>
      </c>
      <c r="B106" s="19"/>
      <c r="C106" s="21"/>
      <c r="D106" s="21"/>
      <c r="E106" s="21"/>
      <c r="F106" s="21"/>
      <c r="G106" s="21"/>
      <c r="H106" s="21"/>
      <c r="I106" s="13" t="s">
        <v>46</v>
      </c>
    </row>
    <row r="107">
      <c r="A107" s="23" t="s">
        <v>47</v>
      </c>
      <c r="B107" s="15">
        <f t="shared" ref="B107:H107" si="135">AVERAGE(B103:B106)</f>
        <v>0.5</v>
      </c>
      <c r="C107" s="15">
        <f t="shared" si="135"/>
        <v>0.3333333333</v>
      </c>
      <c r="D107" s="15">
        <f t="shared" si="135"/>
        <v>0.2222222222</v>
      </c>
      <c r="E107" s="15">
        <f t="shared" si="135"/>
        <v>0</v>
      </c>
      <c r="F107" s="15">
        <f t="shared" si="135"/>
        <v>0.07692307692</v>
      </c>
      <c r="G107" s="15">
        <f t="shared" si="135"/>
        <v>0</v>
      </c>
      <c r="H107" s="15">
        <f t="shared" si="135"/>
        <v>0.1358974359</v>
      </c>
      <c r="I107" s="16"/>
    </row>
    <row r="108">
      <c r="A108" s="10">
        <v>46048.0</v>
      </c>
      <c r="B108" s="19">
        <f>2/4</f>
        <v>0.5</v>
      </c>
      <c r="C108" s="21">
        <f>0/4</f>
        <v>0</v>
      </c>
      <c r="D108" s="21">
        <f>0/3</f>
        <v>0</v>
      </c>
      <c r="E108" s="21">
        <f>2/13</f>
        <v>0.1538461538</v>
      </c>
      <c r="F108" s="21">
        <f t="shared" ref="F108:G108" si="136">1/13</f>
        <v>0.07692307692</v>
      </c>
      <c r="G108" s="20">
        <f t="shared" si="136"/>
        <v>0.07692307692</v>
      </c>
      <c r="H108" s="21">
        <f>3/13</f>
        <v>0.2307692308</v>
      </c>
      <c r="I108" s="13"/>
    </row>
    <row r="109">
      <c r="A109" s="10">
        <v>46049.0</v>
      </c>
      <c r="B109" s="19">
        <f>3/9</f>
        <v>0.3333333333</v>
      </c>
      <c r="C109" s="21">
        <f t="shared" ref="C109:D109" si="137">0/9</f>
        <v>0</v>
      </c>
      <c r="D109" s="21">
        <f t="shared" si="137"/>
        <v>0</v>
      </c>
      <c r="E109" s="21">
        <f t="shared" ref="E109:E110" si="138">0/13</f>
        <v>0</v>
      </c>
      <c r="F109" s="21">
        <f>3/13</f>
        <v>0.2307692308</v>
      </c>
      <c r="G109" s="21">
        <f>0/13</f>
        <v>0</v>
      </c>
      <c r="H109" s="21">
        <f>7/13</f>
        <v>0.5384615385</v>
      </c>
      <c r="I109" s="13"/>
    </row>
    <row r="110">
      <c r="A110" s="10">
        <v>46050.0</v>
      </c>
      <c r="B110" s="19">
        <f>2/2</f>
        <v>1</v>
      </c>
      <c r="C110" s="21">
        <f>0/2</f>
        <v>0</v>
      </c>
      <c r="D110" s="21">
        <f>1/2</f>
        <v>0.5</v>
      </c>
      <c r="E110" s="21">
        <f t="shared" si="138"/>
        <v>0</v>
      </c>
      <c r="F110" s="21">
        <f t="shared" ref="F110:H110" si="139">0/13</f>
        <v>0</v>
      </c>
      <c r="G110" s="21">
        <f t="shared" si="139"/>
        <v>0</v>
      </c>
      <c r="H110" s="21">
        <f t="shared" si="139"/>
        <v>0</v>
      </c>
      <c r="I110" s="28"/>
    </row>
    <row r="111">
      <c r="A111" s="10">
        <v>46051.0</v>
      </c>
      <c r="B111" s="19">
        <f>4/7</f>
        <v>0.5714285714</v>
      </c>
      <c r="C111" s="21">
        <f>2/7</f>
        <v>0.2857142857</v>
      </c>
      <c r="D111" s="21">
        <f>3/7</f>
        <v>0.4285714286</v>
      </c>
      <c r="E111" s="21">
        <f>2/13</f>
        <v>0.1538461538</v>
      </c>
      <c r="F111" s="21">
        <f>4/13</f>
        <v>0.3076923077</v>
      </c>
      <c r="G111" s="21">
        <f t="shared" ref="G111:G112" si="141">0/13</f>
        <v>0</v>
      </c>
      <c r="H111" s="21">
        <f>5/13</f>
        <v>0.3846153846</v>
      </c>
      <c r="I111" s="18"/>
    </row>
    <row r="112">
      <c r="A112" s="10">
        <v>46052.0</v>
      </c>
      <c r="B112" s="19">
        <f t="shared" ref="B112:D112" si="140">0/3</f>
        <v>0</v>
      </c>
      <c r="C112" s="21">
        <f t="shared" si="140"/>
        <v>0</v>
      </c>
      <c r="D112" s="21">
        <f t="shared" si="140"/>
        <v>0</v>
      </c>
      <c r="E112" s="21">
        <f>0/13</f>
        <v>0</v>
      </c>
      <c r="F112" s="20">
        <f>3/13</f>
        <v>0.2307692308</v>
      </c>
      <c r="G112" s="20">
        <f t="shared" si="141"/>
        <v>0</v>
      </c>
      <c r="H112" s="21">
        <f>3/13</f>
        <v>0.2307692308</v>
      </c>
      <c r="I112" s="13"/>
    </row>
    <row r="113">
      <c r="A113" s="23" t="s">
        <v>48</v>
      </c>
      <c r="B113" s="15">
        <f t="shared" ref="B113:H113" si="142">AVERAGE(B108:B112)</f>
        <v>0.480952381</v>
      </c>
      <c r="C113" s="15">
        <f t="shared" si="142"/>
        <v>0.05714285714</v>
      </c>
      <c r="D113" s="15">
        <f t="shared" si="142"/>
        <v>0.1857142857</v>
      </c>
      <c r="E113" s="15">
        <f t="shared" si="142"/>
        <v>0.06153846154</v>
      </c>
      <c r="F113" s="15">
        <f t="shared" si="142"/>
        <v>0.1692307692</v>
      </c>
      <c r="G113" s="15">
        <f t="shared" si="142"/>
        <v>0.01538461538</v>
      </c>
      <c r="H113" s="15">
        <f t="shared" si="142"/>
        <v>0.2769230769</v>
      </c>
      <c r="I113" s="16"/>
    </row>
    <row r="114">
      <c r="A114" s="10">
        <v>46055.0</v>
      </c>
      <c r="B114" s="19">
        <f t="shared" ref="B114:D114" si="143">0/3</f>
        <v>0</v>
      </c>
      <c r="C114" s="21">
        <f t="shared" si="143"/>
        <v>0</v>
      </c>
      <c r="D114" s="21">
        <f t="shared" si="143"/>
        <v>0</v>
      </c>
      <c r="E114" s="21">
        <f>1/12</f>
        <v>0.08333333333</v>
      </c>
      <c r="F114" s="21">
        <f t="shared" ref="F114:G114" si="144">0/12</f>
        <v>0</v>
      </c>
      <c r="G114" s="20">
        <f t="shared" si="144"/>
        <v>0</v>
      </c>
      <c r="H114" s="21">
        <f>3/12</f>
        <v>0.25</v>
      </c>
      <c r="I114" s="13" t="s">
        <v>37</v>
      </c>
    </row>
    <row r="115">
      <c r="A115" s="10">
        <v>46056.0</v>
      </c>
      <c r="B115" s="19">
        <f t="shared" ref="B115:C115" si="145">3/3</f>
        <v>1</v>
      </c>
      <c r="C115" s="21">
        <f t="shared" si="145"/>
        <v>1</v>
      </c>
      <c r="D115" s="21">
        <f>0/3</f>
        <v>0</v>
      </c>
      <c r="E115" s="21">
        <f t="shared" ref="E115:H115" si="146">0/13</f>
        <v>0</v>
      </c>
      <c r="F115" s="21">
        <f t="shared" si="146"/>
        <v>0</v>
      </c>
      <c r="G115" s="21">
        <f t="shared" si="146"/>
        <v>0</v>
      </c>
      <c r="H115" s="21">
        <f t="shared" si="146"/>
        <v>0</v>
      </c>
      <c r="I115" s="13"/>
    </row>
    <row r="116">
      <c r="A116" s="10">
        <v>46057.0</v>
      </c>
      <c r="B116" s="19">
        <f>1/4</f>
        <v>0.25</v>
      </c>
      <c r="C116" s="21">
        <f t="shared" ref="C116:D116" si="147">0/4</f>
        <v>0</v>
      </c>
      <c r="D116" s="21">
        <f t="shared" si="147"/>
        <v>0</v>
      </c>
      <c r="E116" s="21">
        <f t="shared" ref="E116:E117" si="149">0/13</f>
        <v>0</v>
      </c>
      <c r="F116" s="21">
        <f>2/13</f>
        <v>0.1538461538</v>
      </c>
      <c r="G116" s="21">
        <f>1/13</f>
        <v>0.07692307692</v>
      </c>
      <c r="H116" s="21">
        <f>4/13</f>
        <v>0.3076923077</v>
      </c>
      <c r="I116" s="13"/>
    </row>
    <row r="117">
      <c r="A117" s="10">
        <v>46058.0</v>
      </c>
      <c r="B117" s="19">
        <f t="shared" ref="B117:C117" si="148">0/2</f>
        <v>0</v>
      </c>
      <c r="C117" s="21">
        <f t="shared" si="148"/>
        <v>0</v>
      </c>
      <c r="D117" s="21">
        <f t="shared" ref="D117:D118" si="152">0/1</f>
        <v>0</v>
      </c>
      <c r="E117" s="21">
        <f t="shared" si="149"/>
        <v>0</v>
      </c>
      <c r="F117" s="21">
        <f t="shared" ref="F117:H117" si="150">0/13</f>
        <v>0</v>
      </c>
      <c r="G117" s="21">
        <f t="shared" si="150"/>
        <v>0</v>
      </c>
      <c r="H117" s="21">
        <f t="shared" si="150"/>
        <v>0</v>
      </c>
      <c r="I117" s="18"/>
    </row>
    <row r="118">
      <c r="A118" s="10">
        <v>46059.0</v>
      </c>
      <c r="B118" s="19">
        <f t="shared" ref="B118:C118" si="151">1/2</f>
        <v>0.5</v>
      </c>
      <c r="C118" s="21">
        <f t="shared" si="151"/>
        <v>0.5</v>
      </c>
      <c r="D118" s="21">
        <f t="shared" si="152"/>
        <v>0</v>
      </c>
      <c r="E118" s="21">
        <f>1/13</f>
        <v>0.07692307692</v>
      </c>
      <c r="F118" s="21">
        <f t="shared" ref="F118:H118" si="153">0/13</f>
        <v>0</v>
      </c>
      <c r="G118" s="21">
        <f t="shared" si="153"/>
        <v>0</v>
      </c>
      <c r="H118" s="21">
        <f t="shared" si="153"/>
        <v>0</v>
      </c>
      <c r="I118" s="13"/>
    </row>
    <row r="119">
      <c r="A119" s="23" t="s">
        <v>49</v>
      </c>
      <c r="B119" s="15">
        <f t="shared" ref="B119:H119" si="154">AVERAGE(B114:B118)</f>
        <v>0.35</v>
      </c>
      <c r="C119" s="15">
        <f t="shared" si="154"/>
        <v>0.3</v>
      </c>
      <c r="D119" s="15">
        <f t="shared" si="154"/>
        <v>0</v>
      </c>
      <c r="E119" s="15">
        <f t="shared" si="154"/>
        <v>0.03205128205</v>
      </c>
      <c r="F119" s="15">
        <f t="shared" si="154"/>
        <v>0.03076923077</v>
      </c>
      <c r="G119" s="15">
        <f t="shared" si="154"/>
        <v>0.01538461538</v>
      </c>
      <c r="H119" s="15">
        <f t="shared" si="154"/>
        <v>0.1115384615</v>
      </c>
      <c r="I119" s="16"/>
    </row>
    <row r="120">
      <c r="A120" s="10">
        <v>46062.0</v>
      </c>
      <c r="B120" s="19">
        <f>3/5</f>
        <v>0.6</v>
      </c>
      <c r="C120" s="21">
        <f>1/5</f>
        <v>0.2</v>
      </c>
      <c r="D120" s="21">
        <f>3/4</f>
        <v>0.75</v>
      </c>
      <c r="E120" s="21">
        <f>0/13</f>
        <v>0</v>
      </c>
      <c r="F120" s="21">
        <f t="shared" ref="F120:F121" si="155">2/13</f>
        <v>0.1538461538</v>
      </c>
      <c r="G120" s="21">
        <f t="shared" ref="G120:G121" si="156">0/13</f>
        <v>0</v>
      </c>
      <c r="H120" s="21">
        <f t="shared" ref="H120:H121" si="157">1/13</f>
        <v>0.07692307692</v>
      </c>
      <c r="I120" s="13"/>
    </row>
    <row r="121">
      <c r="A121" s="10">
        <v>46063.0</v>
      </c>
      <c r="B121" s="19">
        <f>4/6</f>
        <v>0.6666666667</v>
      </c>
      <c r="C121" s="21">
        <f>2/6</f>
        <v>0.3333333333</v>
      </c>
      <c r="D121" s="21">
        <f>1/5</f>
        <v>0.2</v>
      </c>
      <c r="E121" s="21">
        <f>3/13</f>
        <v>0.2307692308</v>
      </c>
      <c r="F121" s="21">
        <f t="shared" si="155"/>
        <v>0.1538461538</v>
      </c>
      <c r="G121" s="21">
        <f t="shared" si="156"/>
        <v>0</v>
      </c>
      <c r="H121" s="21">
        <f t="shared" si="157"/>
        <v>0.07692307692</v>
      </c>
      <c r="I121" s="13"/>
    </row>
    <row r="122">
      <c r="A122" s="10">
        <v>46064.0</v>
      </c>
      <c r="B122" s="19">
        <f>1/6</f>
        <v>0.1666666667</v>
      </c>
      <c r="C122" s="21">
        <f t="shared" ref="C122:D122" si="158">0/6</f>
        <v>0</v>
      </c>
      <c r="D122" s="21">
        <f t="shared" si="158"/>
        <v>0</v>
      </c>
      <c r="E122" s="21">
        <f>0/10</f>
        <v>0</v>
      </c>
      <c r="F122" s="21">
        <f>4/10</f>
        <v>0.4</v>
      </c>
      <c r="G122" s="21">
        <f>0/10</f>
        <v>0</v>
      </c>
      <c r="H122" s="21">
        <f>5/10</f>
        <v>0.5</v>
      </c>
      <c r="I122" s="13" t="s">
        <v>24</v>
      </c>
    </row>
    <row r="123">
      <c r="A123" s="10">
        <v>46065.0</v>
      </c>
      <c r="B123" s="19"/>
      <c r="C123" s="21"/>
      <c r="D123" s="21"/>
      <c r="E123" s="21"/>
      <c r="F123" s="21"/>
      <c r="G123" s="21"/>
      <c r="H123" s="21"/>
      <c r="I123" s="13" t="s">
        <v>40</v>
      </c>
    </row>
    <row r="124">
      <c r="A124" s="10">
        <v>46066.0</v>
      </c>
      <c r="B124" s="19"/>
      <c r="C124" s="21"/>
      <c r="D124" s="21"/>
      <c r="E124" s="21">
        <f t="shared" ref="E124:G124" si="159">0/13</f>
        <v>0</v>
      </c>
      <c r="F124" s="21">
        <f t="shared" si="159"/>
        <v>0</v>
      </c>
      <c r="G124" s="21">
        <f t="shared" si="159"/>
        <v>0</v>
      </c>
      <c r="H124" s="21">
        <f>3/13</f>
        <v>0.2307692308</v>
      </c>
      <c r="I124" s="13" t="s">
        <v>50</v>
      </c>
    </row>
    <row r="125">
      <c r="A125" s="23" t="s">
        <v>51</v>
      </c>
      <c r="B125" s="15">
        <f t="shared" ref="B125:H125" si="160">AVERAGE(B120:B124)</f>
        <v>0.4777777778</v>
      </c>
      <c r="C125" s="15">
        <f t="shared" si="160"/>
        <v>0.1777777778</v>
      </c>
      <c r="D125" s="15">
        <f t="shared" si="160"/>
        <v>0.3166666667</v>
      </c>
      <c r="E125" s="15">
        <f t="shared" si="160"/>
        <v>0.05769230769</v>
      </c>
      <c r="F125" s="15">
        <f t="shared" si="160"/>
        <v>0.1769230769</v>
      </c>
      <c r="G125" s="15">
        <f t="shared" si="160"/>
        <v>0</v>
      </c>
      <c r="H125" s="15">
        <f t="shared" si="160"/>
        <v>0.2211538462</v>
      </c>
      <c r="I125" s="16"/>
    </row>
    <row r="126">
      <c r="A126" s="10">
        <v>46071.0</v>
      </c>
      <c r="B126" s="19">
        <f>2/3</f>
        <v>0.6666666667</v>
      </c>
      <c r="C126" s="21">
        <f>0/3</f>
        <v>0</v>
      </c>
      <c r="D126" s="21">
        <f>1/2</f>
        <v>0.5</v>
      </c>
      <c r="E126" s="21">
        <f t="shared" ref="E126:E128" si="161">0/13</f>
        <v>0</v>
      </c>
      <c r="F126" s="21">
        <f t="shared" ref="F126:F127" si="162">1/13</f>
        <v>0.07692307692</v>
      </c>
      <c r="G126" s="21">
        <f t="shared" ref="G126:G127" si="163">0/13</f>
        <v>0</v>
      </c>
      <c r="H126" s="21">
        <f>1/13</f>
        <v>0.07692307692</v>
      </c>
      <c r="I126" s="18"/>
    </row>
    <row r="127">
      <c r="A127" s="10">
        <v>46072.0</v>
      </c>
      <c r="B127" s="19">
        <f>5/6</f>
        <v>0.8333333333</v>
      </c>
      <c r="C127" s="21">
        <f>2/6</f>
        <v>0.3333333333</v>
      </c>
      <c r="D127" s="21">
        <f>1/4</f>
        <v>0.25</v>
      </c>
      <c r="E127" s="21">
        <f t="shared" si="161"/>
        <v>0</v>
      </c>
      <c r="F127" s="21">
        <f t="shared" si="162"/>
        <v>0.07692307692</v>
      </c>
      <c r="G127" s="21">
        <f t="shared" si="163"/>
        <v>0</v>
      </c>
      <c r="H127" s="21">
        <f>2/13</f>
        <v>0.1538461538</v>
      </c>
      <c r="I127" s="13"/>
    </row>
    <row r="128">
      <c r="A128" s="24">
        <v>46073.0</v>
      </c>
      <c r="B128" s="25">
        <f t="shared" ref="B128:C128" si="164">3/3</f>
        <v>1</v>
      </c>
      <c r="C128" s="21">
        <f t="shared" si="164"/>
        <v>1</v>
      </c>
      <c r="D128" s="21">
        <f>2/2</f>
        <v>1</v>
      </c>
      <c r="E128" s="21">
        <f t="shared" si="161"/>
        <v>0</v>
      </c>
      <c r="F128" s="21">
        <f t="shared" ref="F128:H128" si="165">0/13</f>
        <v>0</v>
      </c>
      <c r="G128" s="21">
        <f t="shared" si="165"/>
        <v>0</v>
      </c>
      <c r="H128" s="21">
        <f t="shared" si="165"/>
        <v>0</v>
      </c>
      <c r="I128" s="13"/>
    </row>
    <row r="129">
      <c r="A129" s="23" t="s">
        <v>52</v>
      </c>
      <c r="B129" s="15">
        <f t="shared" ref="B129:H129" si="166">AVERAGE(B125:B128)</f>
        <v>0.7444444444</v>
      </c>
      <c r="C129" s="15">
        <f t="shared" si="166"/>
        <v>0.3777777778</v>
      </c>
      <c r="D129" s="15">
        <f t="shared" si="166"/>
        <v>0.5166666667</v>
      </c>
      <c r="E129" s="15">
        <f t="shared" si="166"/>
        <v>0.01442307692</v>
      </c>
      <c r="F129" s="15">
        <f t="shared" si="166"/>
        <v>0.08269230769</v>
      </c>
      <c r="G129" s="15">
        <f t="shared" si="166"/>
        <v>0</v>
      </c>
      <c r="H129" s="15">
        <f t="shared" si="166"/>
        <v>0.1129807692</v>
      </c>
      <c r="I129" s="16"/>
    </row>
    <row r="130">
      <c r="A130" s="10">
        <v>46076.0</v>
      </c>
      <c r="B130" s="19">
        <f>3/3</f>
        <v>1</v>
      </c>
      <c r="C130" s="21">
        <f>1/3</f>
        <v>0.3333333333</v>
      </c>
      <c r="D130" s="21">
        <f>2/3</f>
        <v>0.6666666667</v>
      </c>
      <c r="E130" s="21">
        <f>3/13</f>
        <v>0.2307692308</v>
      </c>
      <c r="F130" s="21">
        <f t="shared" ref="F130:H130" si="167">0/13</f>
        <v>0</v>
      </c>
      <c r="G130" s="21">
        <f t="shared" si="167"/>
        <v>0</v>
      </c>
      <c r="H130" s="21">
        <f t="shared" si="167"/>
        <v>0</v>
      </c>
      <c r="I130" s="13"/>
    </row>
    <row r="131">
      <c r="A131" s="10">
        <v>46077.0</v>
      </c>
      <c r="B131" s="19"/>
      <c r="C131" s="21"/>
      <c r="D131" s="21"/>
      <c r="E131" s="21"/>
      <c r="F131" s="21"/>
      <c r="G131" s="21"/>
      <c r="H131" s="21"/>
      <c r="I131" s="13"/>
    </row>
    <row r="132">
      <c r="A132" s="10">
        <v>46078.0</v>
      </c>
      <c r="B132" s="19"/>
      <c r="C132" s="21"/>
      <c r="D132" s="21"/>
      <c r="E132" s="21"/>
      <c r="F132" s="21"/>
      <c r="G132" s="21"/>
      <c r="H132" s="21"/>
      <c r="I132" s="18"/>
    </row>
    <row r="133">
      <c r="A133" s="10">
        <v>46079.0</v>
      </c>
      <c r="B133" s="19"/>
      <c r="C133" s="21"/>
      <c r="D133" s="21"/>
      <c r="E133" s="21"/>
      <c r="F133" s="21"/>
      <c r="G133" s="21"/>
      <c r="H133" s="21"/>
      <c r="I133" s="13"/>
    </row>
    <row r="134">
      <c r="A134" s="10">
        <v>46080.0</v>
      </c>
      <c r="B134" s="19"/>
      <c r="C134" s="21"/>
      <c r="D134" s="21"/>
      <c r="E134" s="21"/>
      <c r="F134" s="21"/>
      <c r="G134" s="21"/>
      <c r="H134" s="21"/>
      <c r="I134" s="13"/>
    </row>
    <row r="135">
      <c r="A135" s="23" t="s">
        <v>53</v>
      </c>
      <c r="B135" s="15">
        <f t="shared" ref="B135:H135" si="168">AVERAGE(B130:B134)</f>
        <v>1</v>
      </c>
      <c r="C135" s="15">
        <f t="shared" si="168"/>
        <v>0.3333333333</v>
      </c>
      <c r="D135" s="15">
        <f t="shared" si="168"/>
        <v>0.6666666667</v>
      </c>
      <c r="E135" s="15">
        <f t="shared" si="168"/>
        <v>0.2307692308</v>
      </c>
      <c r="F135" s="15">
        <f t="shared" si="168"/>
        <v>0</v>
      </c>
      <c r="G135" s="15">
        <f t="shared" si="168"/>
        <v>0</v>
      </c>
      <c r="H135" s="15">
        <f t="shared" si="168"/>
        <v>0</v>
      </c>
      <c r="I135" s="16"/>
    </row>
    <row r="136">
      <c r="A136" s="10">
        <v>46083.0</v>
      </c>
      <c r="B136" s="19"/>
      <c r="C136" s="21"/>
      <c r="D136" s="21"/>
      <c r="E136" s="21"/>
      <c r="F136" s="21"/>
      <c r="G136" s="21"/>
      <c r="H136" s="21"/>
      <c r="I136" s="13"/>
    </row>
    <row r="137">
      <c r="A137" s="10">
        <v>46084.0</v>
      </c>
      <c r="B137" s="19"/>
      <c r="C137" s="21"/>
      <c r="D137" s="21"/>
      <c r="E137" s="21"/>
      <c r="F137" s="21"/>
      <c r="G137" s="21"/>
      <c r="H137" s="21"/>
      <c r="I137" s="18"/>
    </row>
    <row r="138">
      <c r="A138" s="10">
        <v>46085.0</v>
      </c>
      <c r="B138" s="19"/>
      <c r="C138" s="21"/>
      <c r="D138" s="21"/>
      <c r="E138" s="21"/>
      <c r="F138" s="21"/>
      <c r="G138" s="21"/>
      <c r="H138" s="21"/>
      <c r="I138" s="13"/>
    </row>
    <row r="139">
      <c r="A139" s="10">
        <v>46086.0</v>
      </c>
      <c r="B139" s="19"/>
      <c r="C139" s="21"/>
      <c r="D139" s="21"/>
      <c r="E139" s="21"/>
      <c r="F139" s="21"/>
      <c r="G139" s="21"/>
      <c r="H139" s="21"/>
      <c r="I139" s="18"/>
    </row>
    <row r="140">
      <c r="A140" s="31" t="s">
        <v>54</v>
      </c>
      <c r="B140" s="15" t="str">
        <f t="shared" ref="B140:H140" si="169">AVERAGE(B136:B139)</f>
        <v>#DIV/0!</v>
      </c>
      <c r="C140" s="15" t="str">
        <f t="shared" si="169"/>
        <v>#DIV/0!</v>
      </c>
      <c r="D140" s="15" t="str">
        <f t="shared" si="169"/>
        <v>#DIV/0!</v>
      </c>
      <c r="E140" s="15" t="str">
        <f t="shared" si="169"/>
        <v>#DIV/0!</v>
      </c>
      <c r="F140" s="15" t="str">
        <f t="shared" si="169"/>
        <v>#DIV/0!</v>
      </c>
      <c r="G140" s="15" t="str">
        <f t="shared" si="169"/>
        <v>#DIV/0!</v>
      </c>
      <c r="H140" s="15" t="str">
        <f t="shared" si="169"/>
        <v>#DIV/0!</v>
      </c>
      <c r="I140" s="16"/>
    </row>
    <row r="141">
      <c r="A141" s="10">
        <v>46091.0</v>
      </c>
      <c r="B141" s="19"/>
      <c r="C141" s="21"/>
      <c r="D141" s="21"/>
      <c r="E141" s="21"/>
      <c r="F141" s="21"/>
      <c r="G141" s="21"/>
      <c r="H141" s="21"/>
      <c r="I141" s="13"/>
    </row>
    <row r="142">
      <c r="A142" s="10">
        <v>46092.0</v>
      </c>
      <c r="B142" s="19"/>
      <c r="C142" s="21"/>
      <c r="D142" s="21"/>
      <c r="E142" s="21"/>
      <c r="F142" s="21"/>
      <c r="G142" s="21"/>
      <c r="H142" s="21"/>
      <c r="I142" s="18"/>
    </row>
    <row r="143">
      <c r="A143" s="10">
        <v>46093.0</v>
      </c>
      <c r="B143" s="19"/>
      <c r="C143" s="21"/>
      <c r="D143" s="21"/>
      <c r="E143" s="21"/>
      <c r="F143" s="21"/>
      <c r="G143" s="20"/>
      <c r="H143" s="21"/>
      <c r="I143" s="13"/>
    </row>
    <row r="144">
      <c r="A144" s="24">
        <v>46094.0</v>
      </c>
      <c r="B144" s="25"/>
      <c r="C144" s="21"/>
      <c r="D144" s="21"/>
      <c r="E144" s="21"/>
      <c r="F144" s="21"/>
      <c r="G144" s="21"/>
      <c r="H144" s="21"/>
      <c r="I144" s="13"/>
    </row>
    <row r="145">
      <c r="A145" s="31" t="s">
        <v>55</v>
      </c>
      <c r="B145" s="15" t="str">
        <f t="shared" ref="B145:H145" si="170">AVERAGE(B141:B144)</f>
        <v>#DIV/0!</v>
      </c>
      <c r="C145" s="15" t="str">
        <f t="shared" si="170"/>
        <v>#DIV/0!</v>
      </c>
      <c r="D145" s="15" t="str">
        <f t="shared" si="170"/>
        <v>#DIV/0!</v>
      </c>
      <c r="E145" s="15" t="str">
        <f t="shared" si="170"/>
        <v>#DIV/0!</v>
      </c>
      <c r="F145" s="15" t="str">
        <f t="shared" si="170"/>
        <v>#DIV/0!</v>
      </c>
      <c r="G145" s="15" t="str">
        <f t="shared" si="170"/>
        <v>#DIV/0!</v>
      </c>
      <c r="H145" s="15" t="str">
        <f t="shared" si="170"/>
        <v>#DIV/0!</v>
      </c>
      <c r="I145" s="16"/>
    </row>
    <row r="146">
      <c r="A146" s="24">
        <v>46097.0</v>
      </c>
      <c r="B146" s="25"/>
      <c r="C146" s="21"/>
      <c r="D146" s="21"/>
      <c r="E146" s="21"/>
      <c r="F146" s="21"/>
      <c r="G146" s="21"/>
      <c r="H146" s="21"/>
      <c r="I146" s="13"/>
    </row>
    <row r="147">
      <c r="A147" s="10">
        <v>46098.0</v>
      </c>
      <c r="B147" s="19"/>
      <c r="C147" s="21"/>
      <c r="D147" s="21"/>
      <c r="E147" s="21"/>
      <c r="F147" s="21"/>
      <c r="G147" s="21"/>
      <c r="H147" s="21"/>
      <c r="I147" s="13"/>
    </row>
    <row r="148">
      <c r="A148" s="10">
        <v>46099.0</v>
      </c>
      <c r="B148" s="19"/>
      <c r="C148" s="21"/>
      <c r="D148" s="21"/>
      <c r="E148" s="21"/>
      <c r="F148" s="21"/>
      <c r="G148" s="21"/>
      <c r="H148" s="21"/>
      <c r="I148" s="18"/>
    </row>
    <row r="149">
      <c r="A149" s="10">
        <v>46100.0</v>
      </c>
      <c r="B149" s="19"/>
      <c r="C149" s="21"/>
      <c r="D149" s="21"/>
      <c r="E149" s="21"/>
      <c r="F149" s="21"/>
      <c r="G149" s="21"/>
      <c r="H149" s="21"/>
      <c r="I149" s="13"/>
    </row>
    <row r="150">
      <c r="A150" s="10">
        <v>46101.0</v>
      </c>
      <c r="B150" s="19"/>
      <c r="C150" s="21"/>
      <c r="D150" s="21"/>
      <c r="E150" s="21"/>
      <c r="F150" s="21"/>
      <c r="G150" s="21"/>
      <c r="H150" s="21"/>
      <c r="I150" s="13"/>
    </row>
    <row r="151">
      <c r="A151" s="31" t="s">
        <v>56</v>
      </c>
      <c r="B151" s="15" t="str">
        <f t="shared" ref="B151:H151" si="171">AVERAGE(B146:B150)</f>
        <v>#DIV/0!</v>
      </c>
      <c r="C151" s="15" t="str">
        <f t="shared" si="171"/>
        <v>#DIV/0!</v>
      </c>
      <c r="D151" s="15" t="str">
        <f t="shared" si="171"/>
        <v>#DIV/0!</v>
      </c>
      <c r="E151" s="15" t="str">
        <f t="shared" si="171"/>
        <v>#DIV/0!</v>
      </c>
      <c r="F151" s="15" t="str">
        <f t="shared" si="171"/>
        <v>#DIV/0!</v>
      </c>
      <c r="G151" s="15" t="str">
        <f t="shared" si="171"/>
        <v>#DIV/0!</v>
      </c>
      <c r="H151" s="15" t="str">
        <f t="shared" si="171"/>
        <v>#DIV/0!</v>
      </c>
      <c r="I151" s="16"/>
    </row>
    <row r="152">
      <c r="A152" s="10">
        <v>46104.0</v>
      </c>
      <c r="B152" s="19"/>
      <c r="C152" s="21"/>
      <c r="D152" s="21"/>
      <c r="E152" s="21"/>
      <c r="F152" s="21"/>
      <c r="G152" s="21"/>
      <c r="H152" s="21"/>
      <c r="I152" s="13"/>
    </row>
    <row r="153">
      <c r="A153" s="10">
        <v>46105.0</v>
      </c>
      <c r="B153" s="19"/>
      <c r="C153" s="21"/>
      <c r="D153" s="21"/>
      <c r="E153" s="21"/>
      <c r="F153" s="21"/>
      <c r="G153" s="21"/>
      <c r="H153" s="21"/>
      <c r="I153" s="13"/>
    </row>
    <row r="154">
      <c r="A154" s="10">
        <v>45741.0</v>
      </c>
      <c r="B154" s="19"/>
      <c r="C154" s="21"/>
      <c r="D154" s="21"/>
      <c r="E154" s="21"/>
      <c r="F154" s="21"/>
      <c r="G154" s="21"/>
      <c r="H154" s="21"/>
      <c r="I154" s="18"/>
    </row>
    <row r="155">
      <c r="A155" s="10">
        <v>46107.0</v>
      </c>
      <c r="B155" s="19"/>
      <c r="C155" s="21"/>
      <c r="D155" s="21"/>
      <c r="E155" s="21"/>
      <c r="F155" s="21"/>
      <c r="G155" s="21"/>
      <c r="H155" s="21"/>
      <c r="I155" s="13"/>
    </row>
    <row r="156">
      <c r="A156" s="10">
        <v>46108.0</v>
      </c>
      <c r="B156" s="19"/>
      <c r="C156" s="21"/>
      <c r="D156" s="21"/>
      <c r="E156" s="21"/>
      <c r="F156" s="21"/>
      <c r="G156" s="21"/>
      <c r="H156" s="21"/>
      <c r="I156" s="13"/>
    </row>
    <row r="157">
      <c r="A157" s="31" t="s">
        <v>57</v>
      </c>
      <c r="B157" s="15" t="str">
        <f t="shared" ref="B157:H157" si="172">AVERAGE(B152:B156)</f>
        <v>#DIV/0!</v>
      </c>
      <c r="C157" s="15" t="str">
        <f t="shared" si="172"/>
        <v>#DIV/0!</v>
      </c>
      <c r="D157" s="15" t="str">
        <f t="shared" si="172"/>
        <v>#DIV/0!</v>
      </c>
      <c r="E157" s="15" t="str">
        <f t="shared" si="172"/>
        <v>#DIV/0!</v>
      </c>
      <c r="F157" s="15" t="str">
        <f t="shared" si="172"/>
        <v>#DIV/0!</v>
      </c>
      <c r="G157" s="15" t="str">
        <f t="shared" si="172"/>
        <v>#DIV/0!</v>
      </c>
      <c r="H157" s="15" t="str">
        <f t="shared" si="172"/>
        <v>#DIV/0!</v>
      </c>
      <c r="I157" s="16"/>
    </row>
    <row r="158">
      <c r="A158" s="10">
        <v>46118.0</v>
      </c>
      <c r="B158" s="19"/>
      <c r="C158" s="21"/>
      <c r="D158" s="21"/>
      <c r="E158" s="21"/>
      <c r="F158" s="21"/>
      <c r="G158" s="21"/>
      <c r="H158" s="21"/>
      <c r="I158" s="13"/>
    </row>
    <row r="159">
      <c r="A159" s="10">
        <v>46119.0</v>
      </c>
      <c r="B159" s="19"/>
      <c r="C159" s="21"/>
      <c r="D159" s="21"/>
      <c r="E159" s="21"/>
      <c r="F159" s="21"/>
      <c r="G159" s="21"/>
      <c r="H159" s="21"/>
      <c r="I159" s="13"/>
    </row>
    <row r="160">
      <c r="A160" s="10">
        <v>46120.0</v>
      </c>
      <c r="B160" s="19"/>
      <c r="C160" s="21"/>
      <c r="D160" s="21"/>
      <c r="E160" s="21"/>
      <c r="F160" s="21"/>
      <c r="G160" s="21"/>
      <c r="H160" s="21"/>
      <c r="I160" s="18"/>
    </row>
    <row r="161">
      <c r="A161" s="10">
        <v>46121.0</v>
      </c>
      <c r="B161" s="19"/>
      <c r="C161" s="21"/>
      <c r="D161" s="21"/>
      <c r="E161" s="21"/>
      <c r="F161" s="21"/>
      <c r="G161" s="21"/>
      <c r="H161" s="21"/>
      <c r="I161" s="28"/>
    </row>
    <row r="162">
      <c r="A162" s="24">
        <v>46122.0</v>
      </c>
      <c r="B162" s="25"/>
      <c r="C162" s="21"/>
      <c r="D162" s="21"/>
      <c r="E162" s="21"/>
      <c r="F162" s="21"/>
      <c r="G162" s="21"/>
      <c r="H162" s="21"/>
      <c r="I162" s="13"/>
    </row>
    <row r="163">
      <c r="A163" s="31" t="s">
        <v>58</v>
      </c>
      <c r="B163" s="15" t="str">
        <f t="shared" ref="B163:H163" si="173">AVERAGE(B158:B162)</f>
        <v>#DIV/0!</v>
      </c>
      <c r="C163" s="15" t="str">
        <f t="shared" si="173"/>
        <v>#DIV/0!</v>
      </c>
      <c r="D163" s="15" t="str">
        <f t="shared" si="173"/>
        <v>#DIV/0!</v>
      </c>
      <c r="E163" s="15" t="str">
        <f t="shared" si="173"/>
        <v>#DIV/0!</v>
      </c>
      <c r="F163" s="15" t="str">
        <f t="shared" si="173"/>
        <v>#DIV/0!</v>
      </c>
      <c r="G163" s="15" t="str">
        <f t="shared" si="173"/>
        <v>#DIV/0!</v>
      </c>
      <c r="H163" s="15" t="str">
        <f t="shared" si="173"/>
        <v>#DIV/0!</v>
      </c>
      <c r="I163" s="16"/>
    </row>
    <row r="164">
      <c r="A164" s="24">
        <v>46125.0</v>
      </c>
      <c r="B164" s="25"/>
      <c r="C164" s="21"/>
      <c r="D164" s="21"/>
      <c r="E164" s="21"/>
      <c r="F164" s="21"/>
      <c r="G164" s="21"/>
      <c r="H164" s="21"/>
      <c r="I164" s="13"/>
    </row>
    <row r="165">
      <c r="A165" s="10">
        <v>46126.0</v>
      </c>
      <c r="B165" s="19"/>
      <c r="C165" s="21"/>
      <c r="D165" s="21"/>
      <c r="E165" s="21"/>
      <c r="F165" s="21"/>
      <c r="G165" s="21"/>
      <c r="H165" s="21"/>
      <c r="I165" s="18"/>
    </row>
    <row r="166">
      <c r="A166" s="10">
        <v>46127.0</v>
      </c>
      <c r="B166" s="29"/>
      <c r="C166" s="21"/>
      <c r="D166" s="21"/>
      <c r="E166" s="21"/>
      <c r="F166" s="21"/>
      <c r="G166" s="21"/>
      <c r="H166" s="21"/>
      <c r="I166" s="13"/>
    </row>
    <row r="167">
      <c r="A167" s="10">
        <v>46128.0</v>
      </c>
      <c r="B167" s="19"/>
      <c r="C167" s="21"/>
      <c r="D167" s="21"/>
      <c r="E167" s="21"/>
      <c r="F167" s="21"/>
      <c r="G167" s="21"/>
      <c r="H167" s="21"/>
      <c r="I167" s="13"/>
    </row>
    <row r="168">
      <c r="A168" s="24">
        <v>46129.0</v>
      </c>
      <c r="B168" s="25"/>
      <c r="C168" s="21"/>
      <c r="D168" s="21"/>
      <c r="E168" s="21"/>
      <c r="F168" s="21"/>
      <c r="G168" s="21"/>
      <c r="H168" s="20"/>
      <c r="I168" s="13"/>
    </row>
    <row r="169">
      <c r="A169" s="31" t="s">
        <v>59</v>
      </c>
      <c r="B169" s="15" t="str">
        <f t="shared" ref="B169:H169" si="174">AVERAGE(B164:B168)</f>
        <v>#DIV/0!</v>
      </c>
      <c r="C169" s="15" t="str">
        <f t="shared" si="174"/>
        <v>#DIV/0!</v>
      </c>
      <c r="D169" s="15" t="str">
        <f t="shared" si="174"/>
        <v>#DIV/0!</v>
      </c>
      <c r="E169" s="15" t="str">
        <f t="shared" si="174"/>
        <v>#DIV/0!</v>
      </c>
      <c r="F169" s="15" t="str">
        <f t="shared" si="174"/>
        <v>#DIV/0!</v>
      </c>
      <c r="G169" s="15" t="str">
        <f t="shared" si="174"/>
        <v>#DIV/0!</v>
      </c>
      <c r="H169" s="15" t="str">
        <f t="shared" si="174"/>
        <v>#DIV/0!</v>
      </c>
      <c r="I169" s="16"/>
    </row>
    <row r="170">
      <c r="A170" s="24">
        <v>46132.0</v>
      </c>
      <c r="B170" s="25"/>
      <c r="C170" s="21"/>
      <c r="D170" s="21"/>
      <c r="E170" s="21"/>
      <c r="F170" s="21"/>
      <c r="G170" s="21"/>
      <c r="H170" s="21"/>
      <c r="I170" s="13"/>
    </row>
    <row r="171">
      <c r="A171" s="10">
        <v>46133.0</v>
      </c>
      <c r="B171" s="19"/>
      <c r="C171" s="21"/>
      <c r="D171" s="21"/>
      <c r="E171" s="21"/>
      <c r="F171" s="21"/>
      <c r="G171" s="21"/>
      <c r="H171" s="21"/>
      <c r="I171" s="18"/>
    </row>
    <row r="172">
      <c r="A172" s="10">
        <v>46134.0</v>
      </c>
      <c r="B172" s="19"/>
      <c r="C172" s="21"/>
      <c r="D172" s="21"/>
      <c r="E172" s="21"/>
      <c r="F172" s="21"/>
      <c r="G172" s="21"/>
      <c r="H172" s="21"/>
      <c r="I172" s="13"/>
    </row>
    <row r="173">
      <c r="A173" s="10">
        <v>46135.0</v>
      </c>
      <c r="B173" s="19"/>
      <c r="C173" s="21"/>
      <c r="D173" s="21"/>
      <c r="E173" s="21"/>
      <c r="F173" s="21"/>
      <c r="G173" s="21"/>
      <c r="H173" s="21"/>
      <c r="I173" s="13"/>
    </row>
    <row r="174">
      <c r="A174" s="24">
        <v>46136.0</v>
      </c>
      <c r="B174" s="25"/>
      <c r="C174" s="21"/>
      <c r="D174" s="21"/>
      <c r="E174" s="21"/>
      <c r="F174" s="21"/>
      <c r="G174" s="21"/>
      <c r="H174" s="21"/>
      <c r="I174" s="13"/>
    </row>
    <row r="175">
      <c r="A175" s="31" t="s">
        <v>60</v>
      </c>
      <c r="B175" s="15" t="str">
        <f t="shared" ref="B175:H175" si="175">AVERAGE(B170:B174)</f>
        <v>#DIV/0!</v>
      </c>
      <c r="C175" s="15" t="str">
        <f t="shared" si="175"/>
        <v>#DIV/0!</v>
      </c>
      <c r="D175" s="15" t="str">
        <f t="shared" si="175"/>
        <v>#DIV/0!</v>
      </c>
      <c r="E175" s="15" t="str">
        <f t="shared" si="175"/>
        <v>#DIV/0!</v>
      </c>
      <c r="F175" s="15" t="str">
        <f t="shared" si="175"/>
        <v>#DIV/0!</v>
      </c>
      <c r="G175" s="15" t="str">
        <f t="shared" si="175"/>
        <v>#DIV/0!</v>
      </c>
      <c r="H175" s="15" t="str">
        <f t="shared" si="175"/>
        <v>#DIV/0!</v>
      </c>
      <c r="I175" s="16"/>
    </row>
    <row r="176">
      <c r="A176" s="24">
        <v>46139.0</v>
      </c>
      <c r="B176" s="25"/>
      <c r="C176" s="21"/>
      <c r="D176" s="21"/>
      <c r="E176" s="21"/>
      <c r="F176" s="21"/>
      <c r="G176" s="21"/>
      <c r="H176" s="21"/>
      <c r="I176" s="13"/>
    </row>
    <row r="177">
      <c r="A177" s="10">
        <v>46140.0</v>
      </c>
      <c r="B177" s="19"/>
      <c r="C177" s="21"/>
      <c r="D177" s="21"/>
      <c r="E177" s="21"/>
      <c r="F177" s="21"/>
      <c r="G177" s="21"/>
      <c r="H177" s="21"/>
      <c r="I177" s="18"/>
    </row>
    <row r="178">
      <c r="A178" s="10">
        <v>46141.0</v>
      </c>
      <c r="B178" s="19"/>
      <c r="C178" s="21"/>
      <c r="D178" s="21"/>
      <c r="E178" s="21"/>
      <c r="F178" s="21"/>
      <c r="G178" s="21"/>
      <c r="H178" s="21"/>
      <c r="I178" s="13"/>
    </row>
    <row r="179">
      <c r="A179" s="10">
        <v>46142.0</v>
      </c>
      <c r="B179" s="19"/>
      <c r="C179" s="21"/>
      <c r="D179" s="21"/>
      <c r="E179" s="21"/>
      <c r="F179" s="21"/>
      <c r="G179" s="21"/>
      <c r="H179" s="21"/>
      <c r="I179" s="13"/>
    </row>
    <row r="180">
      <c r="A180" s="24">
        <v>46143.0</v>
      </c>
      <c r="B180" s="25"/>
      <c r="C180" s="21"/>
      <c r="D180" s="21"/>
      <c r="E180" s="21"/>
      <c r="F180" s="21"/>
      <c r="G180" s="21"/>
      <c r="H180" s="21"/>
      <c r="I180" s="13"/>
    </row>
    <row r="181">
      <c r="A181" s="31" t="s">
        <v>61</v>
      </c>
      <c r="B181" s="15" t="str">
        <f t="shared" ref="B181:H181" si="176">AVERAGE(B176:B180)</f>
        <v>#DIV/0!</v>
      </c>
      <c r="C181" s="15" t="str">
        <f t="shared" si="176"/>
        <v>#DIV/0!</v>
      </c>
      <c r="D181" s="15" t="str">
        <f t="shared" si="176"/>
        <v>#DIV/0!</v>
      </c>
      <c r="E181" s="15" t="str">
        <f t="shared" si="176"/>
        <v>#DIV/0!</v>
      </c>
      <c r="F181" s="15" t="str">
        <f t="shared" si="176"/>
        <v>#DIV/0!</v>
      </c>
      <c r="G181" s="15" t="str">
        <f t="shared" si="176"/>
        <v>#DIV/0!</v>
      </c>
      <c r="H181" s="15" t="str">
        <f t="shared" si="176"/>
        <v>#DIV/0!</v>
      </c>
      <c r="I181" s="16"/>
    </row>
    <row r="182">
      <c r="A182" s="24">
        <v>46146.0</v>
      </c>
      <c r="B182" s="25"/>
      <c r="C182" s="21"/>
      <c r="D182" s="21"/>
      <c r="E182" s="21"/>
      <c r="F182" s="21"/>
      <c r="G182" s="21"/>
      <c r="H182" s="21"/>
      <c r="I182" s="13"/>
    </row>
    <row r="183">
      <c r="A183" s="10">
        <v>46147.0</v>
      </c>
      <c r="B183" s="19"/>
      <c r="C183" s="21"/>
      <c r="D183" s="21"/>
      <c r="E183" s="21"/>
      <c r="F183" s="21"/>
      <c r="G183" s="21"/>
      <c r="H183" s="21"/>
      <c r="I183" s="18"/>
    </row>
    <row r="184">
      <c r="A184" s="32">
        <v>46148.0</v>
      </c>
      <c r="B184" s="19"/>
      <c r="C184" s="21"/>
      <c r="D184" s="21"/>
      <c r="E184" s="21"/>
      <c r="F184" s="21"/>
      <c r="G184" s="21"/>
      <c r="H184" s="21"/>
      <c r="I184" s="13"/>
    </row>
    <row r="185">
      <c r="A185" s="10">
        <v>46149.0</v>
      </c>
      <c r="B185" s="19"/>
      <c r="C185" s="21"/>
      <c r="D185" s="21"/>
      <c r="E185" s="21"/>
      <c r="F185" s="21"/>
      <c r="G185" s="21"/>
      <c r="H185" s="21"/>
      <c r="I185" s="13"/>
    </row>
    <row r="186">
      <c r="A186" s="24">
        <v>46150.0</v>
      </c>
      <c r="B186" s="25"/>
      <c r="C186" s="21"/>
      <c r="D186" s="21"/>
      <c r="E186" s="21"/>
      <c r="F186" s="21"/>
      <c r="G186" s="21"/>
      <c r="H186" s="21"/>
      <c r="I186" s="13"/>
    </row>
    <row r="187">
      <c r="A187" s="31" t="s">
        <v>62</v>
      </c>
      <c r="B187" s="15" t="str">
        <f t="shared" ref="B187:H187" si="177">AVERAGE(B182:B186)</f>
        <v>#DIV/0!</v>
      </c>
      <c r="C187" s="15" t="str">
        <f t="shared" si="177"/>
        <v>#DIV/0!</v>
      </c>
      <c r="D187" s="15" t="str">
        <f t="shared" si="177"/>
        <v>#DIV/0!</v>
      </c>
      <c r="E187" s="15" t="str">
        <f t="shared" si="177"/>
        <v>#DIV/0!</v>
      </c>
      <c r="F187" s="15" t="str">
        <f t="shared" si="177"/>
        <v>#DIV/0!</v>
      </c>
      <c r="G187" s="15" t="str">
        <f t="shared" si="177"/>
        <v>#DIV/0!</v>
      </c>
      <c r="H187" s="15" t="str">
        <f t="shared" si="177"/>
        <v>#DIV/0!</v>
      </c>
      <c r="I187" s="16"/>
    </row>
    <row r="188">
      <c r="A188" s="24">
        <v>46153.0</v>
      </c>
      <c r="B188" s="25"/>
      <c r="C188" s="21"/>
      <c r="D188" s="21"/>
      <c r="E188" s="21"/>
      <c r="F188" s="21"/>
      <c r="G188" s="21"/>
      <c r="H188" s="21"/>
      <c r="I188" s="13"/>
    </row>
    <row r="189">
      <c r="A189" s="10">
        <v>46154.0</v>
      </c>
      <c r="B189" s="19"/>
      <c r="C189" s="21"/>
      <c r="D189" s="21"/>
      <c r="E189" s="21"/>
      <c r="F189" s="21"/>
      <c r="G189" s="21"/>
      <c r="H189" s="21"/>
      <c r="I189" s="18"/>
    </row>
    <row r="190">
      <c r="A190" s="10">
        <v>46155.0</v>
      </c>
      <c r="B190" s="19"/>
      <c r="C190" s="21"/>
      <c r="D190" s="21"/>
      <c r="E190" s="21"/>
      <c r="F190" s="21"/>
      <c r="G190" s="21"/>
      <c r="H190" s="21"/>
      <c r="I190" s="13"/>
    </row>
    <row r="191">
      <c r="A191" s="10">
        <v>46156.0</v>
      </c>
      <c r="B191" s="19"/>
      <c r="C191" s="21"/>
      <c r="D191" s="21"/>
      <c r="E191" s="21"/>
      <c r="F191" s="21"/>
      <c r="G191" s="21"/>
      <c r="H191" s="21"/>
      <c r="I191" s="13"/>
    </row>
    <row r="192">
      <c r="A192" s="24">
        <v>46157.0</v>
      </c>
      <c r="B192" s="25"/>
      <c r="C192" s="21"/>
      <c r="D192" s="21"/>
      <c r="E192" s="21"/>
      <c r="F192" s="21"/>
      <c r="G192" s="21"/>
      <c r="H192" s="21"/>
      <c r="I192" s="13"/>
    </row>
    <row r="193">
      <c r="A193" s="31" t="s">
        <v>63</v>
      </c>
      <c r="B193" s="15" t="str">
        <f t="shared" ref="B193:H193" si="178">AVERAGE(B188:B192)</f>
        <v>#DIV/0!</v>
      </c>
      <c r="C193" s="15" t="str">
        <f t="shared" si="178"/>
        <v>#DIV/0!</v>
      </c>
      <c r="D193" s="15" t="str">
        <f t="shared" si="178"/>
        <v>#DIV/0!</v>
      </c>
      <c r="E193" s="15" t="str">
        <f t="shared" si="178"/>
        <v>#DIV/0!</v>
      </c>
      <c r="F193" s="15" t="str">
        <f t="shared" si="178"/>
        <v>#DIV/0!</v>
      </c>
      <c r="G193" s="15" t="str">
        <f t="shared" si="178"/>
        <v>#DIV/0!</v>
      </c>
      <c r="H193" s="15" t="str">
        <f t="shared" si="178"/>
        <v>#DIV/0!</v>
      </c>
      <c r="I193" s="16"/>
    </row>
    <row r="194">
      <c r="A194" s="24">
        <v>46160.0</v>
      </c>
      <c r="B194" s="25"/>
      <c r="C194" s="21"/>
      <c r="D194" s="21"/>
      <c r="E194" s="21"/>
      <c r="F194" s="21"/>
      <c r="G194" s="21"/>
      <c r="H194" s="21"/>
      <c r="I194" s="13"/>
    </row>
    <row r="195">
      <c r="A195" s="10">
        <v>46161.0</v>
      </c>
      <c r="B195" s="19"/>
      <c r="C195" s="21"/>
      <c r="D195" s="21"/>
      <c r="E195" s="21"/>
      <c r="F195" s="21"/>
      <c r="G195" s="21"/>
      <c r="H195" s="21"/>
      <c r="I195" s="18"/>
    </row>
    <row r="196">
      <c r="A196" s="10">
        <v>46162.0</v>
      </c>
      <c r="B196" s="19"/>
      <c r="C196" s="21"/>
      <c r="D196" s="21"/>
      <c r="E196" s="21"/>
      <c r="F196" s="21"/>
      <c r="G196" s="21"/>
      <c r="H196" s="21"/>
      <c r="I196" s="13"/>
    </row>
    <row r="197">
      <c r="A197" s="10">
        <v>46163.0</v>
      </c>
      <c r="B197" s="19"/>
      <c r="C197" s="21"/>
      <c r="D197" s="21"/>
      <c r="E197" s="21"/>
      <c r="F197" s="21"/>
      <c r="G197" s="21"/>
      <c r="H197" s="21"/>
      <c r="I197" s="13"/>
    </row>
    <row r="198">
      <c r="A198" s="24">
        <v>46164.0</v>
      </c>
      <c r="B198" s="25"/>
      <c r="C198" s="21"/>
      <c r="D198" s="21"/>
      <c r="E198" s="21"/>
      <c r="F198" s="21"/>
      <c r="G198" s="21"/>
      <c r="H198" s="21"/>
      <c r="I198" s="18"/>
    </row>
    <row r="199">
      <c r="A199" s="33" t="s">
        <v>64</v>
      </c>
      <c r="B199" s="15" t="str">
        <f t="shared" ref="B199:H199" si="179">AVERAGE(B194:B198)</f>
        <v>#DIV/0!</v>
      </c>
      <c r="C199" s="15" t="str">
        <f t="shared" si="179"/>
        <v>#DIV/0!</v>
      </c>
      <c r="D199" s="15" t="str">
        <f t="shared" si="179"/>
        <v>#DIV/0!</v>
      </c>
      <c r="E199" s="15" t="str">
        <f t="shared" si="179"/>
        <v>#DIV/0!</v>
      </c>
      <c r="F199" s="15" t="str">
        <f t="shared" si="179"/>
        <v>#DIV/0!</v>
      </c>
      <c r="G199" s="15" t="str">
        <f t="shared" si="179"/>
        <v>#DIV/0!</v>
      </c>
      <c r="H199" s="15" t="str">
        <f t="shared" si="179"/>
        <v>#DIV/0!</v>
      </c>
      <c r="I199" s="16"/>
    </row>
    <row r="200">
      <c r="A200" s="24">
        <v>46168.0</v>
      </c>
      <c r="B200" s="25"/>
      <c r="C200" s="21"/>
      <c r="D200" s="21"/>
      <c r="E200" s="21"/>
      <c r="F200" s="21"/>
      <c r="G200" s="21"/>
      <c r="H200" s="21"/>
      <c r="I200" s="18"/>
    </row>
    <row r="201">
      <c r="A201" s="10">
        <v>46169.0</v>
      </c>
      <c r="B201" s="19"/>
      <c r="C201" s="21"/>
      <c r="D201" s="21"/>
      <c r="E201" s="21"/>
      <c r="F201" s="21"/>
      <c r="G201" s="21"/>
      <c r="H201" s="21"/>
      <c r="I201" s="18"/>
    </row>
    <row r="202">
      <c r="A202" s="10">
        <v>46170.0</v>
      </c>
      <c r="B202" s="19"/>
      <c r="C202" s="21"/>
      <c r="D202" s="21"/>
      <c r="E202" s="21"/>
      <c r="F202" s="21"/>
      <c r="G202" s="21"/>
      <c r="H202" s="21"/>
      <c r="I202" s="18"/>
    </row>
    <row r="203">
      <c r="A203" s="10">
        <v>46171.0</v>
      </c>
      <c r="B203" s="19"/>
      <c r="C203" s="21"/>
      <c r="D203" s="21"/>
      <c r="E203" s="21"/>
      <c r="F203" s="21"/>
      <c r="G203" s="21"/>
      <c r="H203" s="21"/>
      <c r="I203" s="18"/>
    </row>
    <row r="204">
      <c r="A204" s="34" t="s">
        <v>65</v>
      </c>
      <c r="B204" s="15" t="str">
        <f t="shared" ref="B204:H204" si="180">AVERAGE(B200:B203)</f>
        <v>#DIV/0!</v>
      </c>
      <c r="C204" s="15" t="str">
        <f t="shared" si="180"/>
        <v>#DIV/0!</v>
      </c>
      <c r="D204" s="15" t="str">
        <f t="shared" si="180"/>
        <v>#DIV/0!</v>
      </c>
      <c r="E204" s="15" t="str">
        <f t="shared" si="180"/>
        <v>#DIV/0!</v>
      </c>
      <c r="F204" s="15" t="str">
        <f t="shared" si="180"/>
        <v>#DIV/0!</v>
      </c>
      <c r="G204" s="15" t="str">
        <f t="shared" si="180"/>
        <v>#DIV/0!</v>
      </c>
      <c r="H204" s="15" t="str">
        <f t="shared" si="180"/>
        <v>#DIV/0!</v>
      </c>
      <c r="I204" s="16"/>
    </row>
    <row r="205">
      <c r="A205" s="10">
        <v>46174.0</v>
      </c>
      <c r="B205" s="19"/>
      <c r="C205" s="21"/>
      <c r="D205" s="21"/>
      <c r="E205" s="21"/>
      <c r="F205" s="21"/>
      <c r="G205" s="21"/>
      <c r="H205" s="21"/>
      <c r="I205" s="18"/>
    </row>
    <row r="206">
      <c r="A206" s="10">
        <v>46175.0</v>
      </c>
      <c r="B206" s="19"/>
      <c r="C206" s="21"/>
      <c r="D206" s="21"/>
      <c r="E206" s="21"/>
      <c r="F206" s="21"/>
      <c r="G206" s="21"/>
      <c r="H206" s="21"/>
      <c r="I206" s="18"/>
    </row>
    <row r="207">
      <c r="A207" s="10">
        <v>46176.0</v>
      </c>
      <c r="B207" s="19"/>
      <c r="C207" s="21"/>
      <c r="D207" s="21"/>
      <c r="E207" s="21"/>
      <c r="F207" s="21"/>
      <c r="G207" s="21"/>
      <c r="H207" s="21"/>
      <c r="I207" s="18"/>
    </row>
    <row r="208">
      <c r="A208" s="10">
        <v>46177.0</v>
      </c>
      <c r="B208" s="19"/>
      <c r="C208" s="21"/>
      <c r="D208" s="21"/>
      <c r="E208" s="21"/>
      <c r="F208" s="21"/>
      <c r="G208" s="21"/>
      <c r="H208" s="21"/>
      <c r="I208" s="18"/>
    </row>
    <row r="209">
      <c r="A209" s="10">
        <v>46178.0</v>
      </c>
      <c r="B209" s="19"/>
      <c r="C209" s="21"/>
      <c r="D209" s="21"/>
      <c r="E209" s="21"/>
      <c r="F209" s="21"/>
      <c r="G209" s="21"/>
      <c r="H209" s="21"/>
      <c r="I209" s="18"/>
    </row>
    <row r="210">
      <c r="A210" s="22" t="s">
        <v>66</v>
      </c>
      <c r="B210" s="15" t="str">
        <f t="shared" ref="B210:H210" si="181">AVERAGE(B205:B209)</f>
        <v>#DIV/0!</v>
      </c>
      <c r="C210" s="15" t="str">
        <f t="shared" si="181"/>
        <v>#DIV/0!</v>
      </c>
      <c r="D210" s="15" t="str">
        <f t="shared" si="181"/>
        <v>#DIV/0!</v>
      </c>
      <c r="E210" s="15" t="str">
        <f t="shared" si="181"/>
        <v>#DIV/0!</v>
      </c>
      <c r="F210" s="15" t="str">
        <f t="shared" si="181"/>
        <v>#DIV/0!</v>
      </c>
      <c r="G210" s="15" t="str">
        <f t="shared" si="181"/>
        <v>#DIV/0!</v>
      </c>
      <c r="H210" s="15" t="str">
        <f t="shared" si="181"/>
        <v>#DIV/0!</v>
      </c>
      <c r="I21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17.88"/>
    <col customWidth="1" min="2" max="2" width="21.75"/>
    <col customWidth="1" min="4" max="4" width="15.75"/>
    <col customWidth="1" min="5" max="6" width="12.63"/>
    <col customWidth="1" min="7" max="7" width="12.38"/>
    <col customWidth="1" min="8" max="8" width="21.13"/>
    <col customWidth="1" min="9" max="9" width="38.0"/>
  </cols>
  <sheetData>
    <row r="1">
      <c r="A1" s="35" t="s">
        <v>8</v>
      </c>
      <c r="B1" s="36" t="s">
        <v>9</v>
      </c>
      <c r="C1" s="37" t="s">
        <v>10</v>
      </c>
      <c r="D1" s="38" t="s">
        <v>67</v>
      </c>
      <c r="E1" s="39" t="s">
        <v>12</v>
      </c>
      <c r="F1" s="39" t="s">
        <v>13</v>
      </c>
      <c r="G1" s="39" t="s">
        <v>14</v>
      </c>
      <c r="H1" s="40" t="s">
        <v>68</v>
      </c>
      <c r="I1" s="41" t="s">
        <v>16</v>
      </c>
    </row>
    <row r="2">
      <c r="A2" s="42" t="s">
        <v>69</v>
      </c>
      <c r="B2" s="43">
        <f t="shared" ref="B2:H2" si="1">Averageif(B4:B17, "&gt;0")</f>
        <v>0.4960688121</v>
      </c>
      <c r="C2" s="43">
        <f t="shared" si="1"/>
        <v>0.2208843537</v>
      </c>
      <c r="D2" s="43">
        <f t="shared" si="1"/>
        <v>0.2981122449</v>
      </c>
      <c r="E2" s="43">
        <f t="shared" si="1"/>
        <v>0.0709270217</v>
      </c>
      <c r="F2" s="43">
        <f t="shared" si="1"/>
        <v>0.09364891519</v>
      </c>
      <c r="G2" s="43">
        <f t="shared" si="1"/>
        <v>0.01538461538</v>
      </c>
      <c r="H2" s="43">
        <f t="shared" si="1"/>
        <v>0.09830553114</v>
      </c>
      <c r="I2" s="44"/>
    </row>
    <row r="3">
      <c r="A3" s="42" t="s">
        <v>70</v>
      </c>
      <c r="B3" s="43">
        <f t="shared" ref="B3:H3" si="2">averageif(B4:B40, "&gt;0")</f>
        <v>0.5303787648</v>
      </c>
      <c r="C3" s="43">
        <f t="shared" si="2"/>
        <v>0.2490583664</v>
      </c>
      <c r="D3" s="43">
        <f t="shared" si="2"/>
        <v>0.3187198068</v>
      </c>
      <c r="E3" s="43">
        <f t="shared" si="2"/>
        <v>0.07392857143</v>
      </c>
      <c r="F3" s="43">
        <f t="shared" si="2"/>
        <v>0.101184573</v>
      </c>
      <c r="G3" s="43">
        <f t="shared" si="2"/>
        <v>0.01593406593</v>
      </c>
      <c r="H3" s="43">
        <f t="shared" si="2"/>
        <v>0.1207286176</v>
      </c>
      <c r="I3" s="44"/>
    </row>
    <row r="4">
      <c r="A4" s="45" t="str">
        <f>Daily!A7</f>
        <v>9/2/25 Weekly Total</v>
      </c>
      <c r="B4" s="46">
        <f>Daily!B7</f>
        <v>0.875</v>
      </c>
      <c r="C4" s="46">
        <f>Daily!C7</f>
        <v>0.3125</v>
      </c>
      <c r="D4" s="46">
        <f>Daily!D7</f>
        <v>0.1666666667</v>
      </c>
      <c r="E4" s="46">
        <f>Daily!E7</f>
        <v>0.03846153846</v>
      </c>
      <c r="F4" s="46">
        <f>Daily!F7</f>
        <v>0</v>
      </c>
      <c r="G4" s="46">
        <f>Daily!G7</f>
        <v>0</v>
      </c>
      <c r="H4" s="46">
        <f>Daily!H7</f>
        <v>0.03846153846</v>
      </c>
      <c r="I4" s="45" t="str">
        <f>Daily!I7</f>
        <v/>
      </c>
    </row>
    <row r="5">
      <c r="A5" s="45" t="str">
        <f>Daily!A13</f>
        <v>9/8/25 Weekly Total</v>
      </c>
      <c r="B5" s="46">
        <f>Daily!B13</f>
        <v>0.8333333333</v>
      </c>
      <c r="C5" s="46">
        <f>Daily!C13</f>
        <v>0.3666666667</v>
      </c>
      <c r="D5" s="46">
        <f>Daily!D13</f>
        <v>0.3738095238</v>
      </c>
      <c r="E5" s="46">
        <f>Daily!E13</f>
        <v>0.03538461538</v>
      </c>
      <c r="F5" s="46">
        <f>Daily!F13</f>
        <v>0.01538461538</v>
      </c>
      <c r="G5" s="46">
        <f>Daily!G13</f>
        <v>0</v>
      </c>
      <c r="H5" s="46">
        <f>Daily!H13</f>
        <v>0.04423076923</v>
      </c>
      <c r="I5" s="45" t="str">
        <f>Daily!I13</f>
        <v/>
      </c>
    </row>
    <row r="6">
      <c r="A6" s="45" t="str">
        <f>Daily!A19</f>
        <v>9/15/25 Weekly Total</v>
      </c>
      <c r="B6" s="46">
        <f>Daily!B19</f>
        <v>0.4711538462</v>
      </c>
      <c r="C6" s="46">
        <f>Daily!C19</f>
        <v>0.08333333333</v>
      </c>
      <c r="D6" s="46">
        <f>Daily!D19</f>
        <v>0.1166666667</v>
      </c>
      <c r="E6" s="46">
        <f>Daily!E19</f>
        <v>0.1076923077</v>
      </c>
      <c r="F6" s="46">
        <f>Daily!F19</f>
        <v>0.04615384615</v>
      </c>
      <c r="G6" s="46">
        <f>Daily!G19</f>
        <v>0</v>
      </c>
      <c r="H6" s="46">
        <f>Daily!H19</f>
        <v>0.07692307692</v>
      </c>
      <c r="I6" s="45" t="str">
        <f>Daily!I19</f>
        <v/>
      </c>
    </row>
    <row r="7">
      <c r="A7" s="45" t="str">
        <f>Daily!A25</f>
        <v>9/22/25 Weekly Total</v>
      </c>
      <c r="B7" s="46">
        <f>Daily!B25</f>
        <v>0.4333333333</v>
      </c>
      <c r="C7" s="46">
        <f>Daily!C25</f>
        <v>0.1666666667</v>
      </c>
      <c r="D7" s="46">
        <f>Daily!D25</f>
        <v>0.2666666667</v>
      </c>
      <c r="E7" s="46">
        <f>Daily!E25</f>
        <v>0.09230769231</v>
      </c>
      <c r="F7" s="46">
        <f>Daily!F25</f>
        <v>0.09230769231</v>
      </c>
      <c r="G7" s="46">
        <f>Daily!G25</f>
        <v>0</v>
      </c>
      <c r="H7" s="46">
        <f>Daily!H25</f>
        <v>0.1692261538</v>
      </c>
      <c r="I7" s="45" t="str">
        <f>Daily!I25</f>
        <v/>
      </c>
    </row>
    <row r="8">
      <c r="A8" s="45" t="str">
        <f>Daily!A31</f>
        <v>9/29/25 Weekly Total</v>
      </c>
      <c r="B8" s="46">
        <f>Daily!B31</f>
        <v>0.5333333333</v>
      </c>
      <c r="C8" s="46">
        <f>Daily!C31</f>
        <v>0.1166666667</v>
      </c>
      <c r="D8" s="46">
        <f>Daily!D31</f>
        <v>0.4733333333</v>
      </c>
      <c r="E8" s="46">
        <f>Daily!E31</f>
        <v>0.04615384615</v>
      </c>
      <c r="F8" s="46">
        <f>Daily!F31</f>
        <v>0.1076923077</v>
      </c>
      <c r="G8" s="46">
        <f>Daily!G31</f>
        <v>0.01538461538</v>
      </c>
      <c r="H8" s="46">
        <f>Daily!H31</f>
        <v>0.2153846154</v>
      </c>
      <c r="I8" s="45" t="str">
        <f>Daily!I31</f>
        <v/>
      </c>
    </row>
    <row r="9">
      <c r="A9" s="45" t="str">
        <f>Daily!A36</f>
        <v>10/7/25 Weekly Total</v>
      </c>
      <c r="B9" s="46">
        <f>Daily!B36</f>
        <v>0.4875</v>
      </c>
      <c r="C9" s="46">
        <f>Daily!C36</f>
        <v>0.375</v>
      </c>
      <c r="D9" s="46">
        <f>Daily!D36</f>
        <v>0.3333333333</v>
      </c>
      <c r="E9" s="46">
        <f>Daily!E36</f>
        <v>0.03846153846</v>
      </c>
      <c r="F9" s="46">
        <f>Daily!F36</f>
        <v>0.05769230769</v>
      </c>
      <c r="G9" s="46">
        <f>Daily!G36</f>
        <v>0</v>
      </c>
      <c r="H9" s="46">
        <f>Daily!H36</f>
        <v>0.05769230769</v>
      </c>
      <c r="I9" s="45" t="str">
        <f>Daily!I36</f>
        <v/>
      </c>
    </row>
    <row r="10">
      <c r="A10" s="45" t="str">
        <f>Daily!A40</f>
        <v>10/13/25 Weekly Total</v>
      </c>
      <c r="B10" s="46">
        <f>Daily!B40</f>
        <v>0.3333333333</v>
      </c>
      <c r="C10" s="46">
        <f>Daily!C40</f>
        <v>0.1666666667</v>
      </c>
      <c r="D10" s="46">
        <f>Daily!D40</f>
        <v>0.2777777778</v>
      </c>
      <c r="E10" s="46">
        <f>Daily!E40</f>
        <v>0</v>
      </c>
      <c r="F10" s="46">
        <f>Daily!F40</f>
        <v>0.1538461538</v>
      </c>
      <c r="G10" s="46">
        <f>Daily!G40</f>
        <v>0</v>
      </c>
      <c r="H10" s="46">
        <f>Daily!H40</f>
        <v>0.1282051282</v>
      </c>
      <c r="I10" s="45" t="str">
        <f>Daily!I40</f>
        <v/>
      </c>
    </row>
    <row r="11">
      <c r="A11" s="45" t="str">
        <f>Daily!A45</f>
        <v>10/21/25 Weekly Total</v>
      </c>
      <c r="B11" s="46">
        <f>Daily!B45</f>
        <v>0.3958333333</v>
      </c>
      <c r="C11" s="46">
        <f>Daily!C45</f>
        <v>0.0625</v>
      </c>
      <c r="D11" s="46">
        <f>Daily!D45</f>
        <v>0.3333333333</v>
      </c>
      <c r="E11" s="46">
        <f>Daily!E45</f>
        <v>0.09615384615</v>
      </c>
      <c r="F11" s="46">
        <f>Daily!F45</f>
        <v>0.07692307692</v>
      </c>
      <c r="G11" s="46">
        <f>Daily!G45</f>
        <v>0</v>
      </c>
      <c r="H11" s="46">
        <f>Daily!H45</f>
        <v>0.07692307692</v>
      </c>
      <c r="I11" s="45" t="str">
        <f>Daily!I45</f>
        <v/>
      </c>
    </row>
    <row r="12">
      <c r="A12" s="45" t="str">
        <f>Daily!A51</f>
        <v>10/27/25 Weekly Total</v>
      </c>
      <c r="B12" s="46">
        <f>Daily!B51</f>
        <v>0.1666666667</v>
      </c>
      <c r="C12" s="46">
        <f>Daily!C51</f>
        <v>0.1333333333</v>
      </c>
      <c r="D12" s="46">
        <f>Daily!D51</f>
        <v>0.2266666667</v>
      </c>
      <c r="E12" s="46">
        <f>Daily!E51</f>
        <v>0.06153846154</v>
      </c>
      <c r="F12" s="46">
        <f>Daily!F51</f>
        <v>0.1076923077</v>
      </c>
      <c r="G12" s="46">
        <f>Daily!G51</f>
        <v>0</v>
      </c>
      <c r="H12" s="46">
        <f>Daily!H51</f>
        <v>0.09230769231</v>
      </c>
      <c r="I12" s="45" t="str">
        <f>Daily!I51</f>
        <v/>
      </c>
    </row>
    <row r="13">
      <c r="A13" s="45" t="str">
        <f>Daily!A57</f>
        <v>11/3/25 Weekly Total</v>
      </c>
      <c r="B13" s="46">
        <f>Daily!B57</f>
        <v>0.23</v>
      </c>
      <c r="C13" s="46">
        <f>Daily!C57</f>
        <v>0.13</v>
      </c>
      <c r="D13" s="46">
        <f>Daily!D57</f>
        <v>0.32</v>
      </c>
      <c r="E13" s="46">
        <f>Daily!E57</f>
        <v>0.07692307692</v>
      </c>
      <c r="F13" s="46">
        <f>Daily!F57</f>
        <v>0.1230769231</v>
      </c>
      <c r="G13" s="46">
        <f>Daily!G57</f>
        <v>0</v>
      </c>
      <c r="H13" s="46">
        <f>Daily!H57</f>
        <v>0.09230769231</v>
      </c>
      <c r="I13" s="45" t="str">
        <f>Daily!I57</f>
        <v/>
      </c>
    </row>
    <row r="14">
      <c r="A14" s="45" t="str">
        <f>Daily!A63</f>
        <v>11/10/25 Weekly Total</v>
      </c>
      <c r="B14" s="46">
        <f>Daily!B63</f>
        <v>0.5666666667</v>
      </c>
      <c r="C14" s="46">
        <f>Daily!C63</f>
        <v>0.3333333333</v>
      </c>
      <c r="D14" s="46">
        <f>Daily!D63</f>
        <v>0.2866666667</v>
      </c>
      <c r="E14" s="46">
        <f>Daily!E63</f>
        <v>0.03538461538</v>
      </c>
      <c r="F14" s="46">
        <f>Daily!F63</f>
        <v>0.09692307692</v>
      </c>
      <c r="G14" s="46">
        <f>Daily!G63</f>
        <v>0.01538461538</v>
      </c>
      <c r="H14" s="46">
        <f>Daily!H63</f>
        <v>0.09230769231</v>
      </c>
      <c r="I14" s="45" t="str">
        <f>Daily!I63</f>
        <v/>
      </c>
    </row>
    <row r="15">
      <c r="A15" s="45" t="str">
        <f>Daily!A69</f>
        <v>11/17/25 Weekly Total</v>
      </c>
      <c r="B15" s="46">
        <f>Daily!B69</f>
        <v>0.4142857143</v>
      </c>
      <c r="C15" s="46">
        <f>Daily!C69</f>
        <v>0.5371428571</v>
      </c>
      <c r="D15" s="46">
        <f>Daily!D69</f>
        <v>0.2857142857</v>
      </c>
      <c r="E15" s="46">
        <f>Daily!E69</f>
        <v>0.1076923077</v>
      </c>
      <c r="F15" s="46">
        <f>Daily!F69</f>
        <v>0.06153846154</v>
      </c>
      <c r="G15" s="46">
        <f>Daily!G69</f>
        <v>0.01538461538</v>
      </c>
      <c r="H15" s="46">
        <f>Daily!H69</f>
        <v>0.07692307692</v>
      </c>
      <c r="I15" s="45" t="str">
        <f>Daily!I69</f>
        <v/>
      </c>
    </row>
    <row r="16">
      <c r="A16" s="45" t="str">
        <f>Daily!A75</f>
        <v>12/1/25 Weekly Total</v>
      </c>
      <c r="B16" s="46">
        <f>Daily!B75</f>
        <v>0.56</v>
      </c>
      <c r="C16" s="46">
        <f>Daily!C75</f>
        <v>0.1483333333</v>
      </c>
      <c r="D16" s="46">
        <f>Daily!D75</f>
        <v>0.3657142857</v>
      </c>
      <c r="E16" s="46">
        <f>Daily!E75</f>
        <v>0.09230769231</v>
      </c>
      <c r="F16" s="46">
        <f>Daily!F75</f>
        <v>0.1692307692</v>
      </c>
      <c r="G16" s="46">
        <f>Daily!G75</f>
        <v>0</v>
      </c>
      <c r="H16" s="46">
        <f>Daily!H75</f>
        <v>0.07692307692</v>
      </c>
      <c r="I16" s="45" t="str">
        <f>Daily!I75</f>
        <v/>
      </c>
    </row>
    <row r="17">
      <c r="A17" s="45" t="str">
        <f>Daily!A81</f>
        <v>12/8/25 Weekly Total</v>
      </c>
      <c r="B17" s="46">
        <f>Daily!B81</f>
        <v>0.6445238095</v>
      </c>
      <c r="C17" s="46">
        <f>Daily!C81</f>
        <v>0.1602380952</v>
      </c>
      <c r="D17" s="46">
        <f>Daily!D81</f>
        <v>0.3472222222</v>
      </c>
      <c r="E17" s="46">
        <f>Daily!E81</f>
        <v>0.09358974359</v>
      </c>
      <c r="F17" s="46">
        <f>Daily!F81</f>
        <v>0.108974359</v>
      </c>
      <c r="G17" s="46">
        <f>Daily!G81</f>
        <v>0.01538461538</v>
      </c>
      <c r="H17" s="46">
        <f>Daily!H81</f>
        <v>0.1384615385</v>
      </c>
      <c r="I17" s="45" t="str">
        <f>Daily!I81</f>
        <v/>
      </c>
    </row>
    <row r="18">
      <c r="A18" s="45" t="str">
        <f>Daily!A87</f>
        <v>12/15/25 Weekly Total</v>
      </c>
      <c r="B18" s="46">
        <f>Daily!B87</f>
        <v>0.3333333333</v>
      </c>
      <c r="C18" s="46">
        <f>Daily!C87</f>
        <v>0.09375</v>
      </c>
      <c r="D18" s="46">
        <f>Daily!D87</f>
        <v>0.4083333333</v>
      </c>
      <c r="E18" s="46">
        <f>Daily!E87</f>
        <v>0.04166666667</v>
      </c>
      <c r="F18" s="46">
        <f>Daily!F87</f>
        <v>0.1955128205</v>
      </c>
      <c r="G18" s="46">
        <f>Daily!G87</f>
        <v>0</v>
      </c>
      <c r="H18" s="46">
        <f>Daily!H87</f>
        <v>0.2227564103</v>
      </c>
      <c r="I18" s="45" t="str">
        <f>Daily!I87</f>
        <v/>
      </c>
    </row>
    <row r="19">
      <c r="A19" s="45" t="str">
        <f>Daily!A90</f>
        <v>12/22/25 Weekly Total</v>
      </c>
      <c r="B19" s="46">
        <f>Daily!B90</f>
        <v>0.7857142857</v>
      </c>
      <c r="C19" s="46">
        <f>Daily!C90</f>
        <v>0.6428571429</v>
      </c>
      <c r="D19" s="46">
        <f>Daily!D90</f>
        <v>0.2857142857</v>
      </c>
      <c r="E19" s="46">
        <f>Daily!E90</f>
        <v>0</v>
      </c>
      <c r="F19" s="46">
        <f>Daily!F90</f>
        <v>0.1153846154</v>
      </c>
      <c r="G19" s="46">
        <f>Daily!G90</f>
        <v>0</v>
      </c>
      <c r="H19" s="46">
        <f>Daily!H90</f>
        <v>0.1153846154</v>
      </c>
      <c r="I19" s="45" t="str">
        <f>Daily!I90</f>
        <v/>
      </c>
    </row>
    <row r="20">
      <c r="A20" s="45" t="str">
        <f>Daily!A96</f>
        <v>1/5/26 Weekly Total</v>
      </c>
      <c r="B20" s="46">
        <f>Daily!B96</f>
        <v>0.7785714286</v>
      </c>
      <c r="C20" s="46">
        <f>Daily!C96</f>
        <v>0.3857142857</v>
      </c>
      <c r="D20" s="46">
        <f>Daily!D96</f>
        <v>0.225</v>
      </c>
      <c r="E20" s="46">
        <f>Daily!E96</f>
        <v>0.03846153846</v>
      </c>
      <c r="F20" s="46">
        <f>Daily!F96</f>
        <v>0.09965034965</v>
      </c>
      <c r="G20" s="46">
        <f>Daily!G96</f>
        <v>0.01923076923</v>
      </c>
      <c r="H20" s="46">
        <f>Daily!H96</f>
        <v>0.09615384615</v>
      </c>
      <c r="I20" s="45" t="str">
        <f>Daily!I96</f>
        <v/>
      </c>
    </row>
    <row r="21">
      <c r="A21" s="45" t="str">
        <f>Daily!A102</f>
        <v>1/12/26 Weekly Total</v>
      </c>
      <c r="B21" s="46">
        <f>Daily!B102</f>
        <v>0.3333333333</v>
      </c>
      <c r="C21" s="46">
        <f>Daily!C102</f>
        <v>0.1833333333</v>
      </c>
      <c r="D21" s="46">
        <f>Daily!D102</f>
        <v>0.33</v>
      </c>
      <c r="E21" s="46">
        <f>Daily!E102</f>
        <v>0.1538461538</v>
      </c>
      <c r="F21" s="46">
        <f>Daily!F102</f>
        <v>0.06153846154</v>
      </c>
      <c r="G21" s="46">
        <f>Daily!G102</f>
        <v>0</v>
      </c>
      <c r="H21" s="46">
        <f>Daily!H102</f>
        <v>0.1076923077</v>
      </c>
      <c r="I21" s="45" t="str">
        <f>Daily!I102</f>
        <v/>
      </c>
    </row>
    <row r="22">
      <c r="A22" s="45" t="str">
        <f>Daily!A107</f>
        <v>1/20/26 Weekly Total</v>
      </c>
      <c r="B22" s="46">
        <f>Daily!B107</f>
        <v>0.5</v>
      </c>
      <c r="C22" s="46">
        <f>Daily!C107</f>
        <v>0.3333333333</v>
      </c>
      <c r="D22" s="46">
        <f>Daily!D107</f>
        <v>0.2222222222</v>
      </c>
      <c r="E22" s="46">
        <f>Daily!E107</f>
        <v>0</v>
      </c>
      <c r="F22" s="46">
        <f>Daily!F107</f>
        <v>0.07692307692</v>
      </c>
      <c r="G22" s="46">
        <f>Daily!G107</f>
        <v>0</v>
      </c>
      <c r="H22" s="46">
        <f>Daily!H107</f>
        <v>0.1358974359</v>
      </c>
      <c r="I22" s="45" t="str">
        <f>Daily!I107</f>
        <v/>
      </c>
    </row>
    <row r="23">
      <c r="A23" s="45" t="str">
        <f>Daily!A113</f>
        <v>1/26/26 Weekly Total</v>
      </c>
      <c r="B23" s="46">
        <f>Daily!B113</f>
        <v>0.480952381</v>
      </c>
      <c r="C23" s="46">
        <f>Daily!C113</f>
        <v>0.05714285714</v>
      </c>
      <c r="D23" s="46">
        <f>Daily!D113</f>
        <v>0.1857142857</v>
      </c>
      <c r="E23" s="46">
        <f>Daily!E113</f>
        <v>0.06153846154</v>
      </c>
      <c r="F23" s="46">
        <f>Daily!F113</f>
        <v>0.1692307692</v>
      </c>
      <c r="G23" s="46">
        <f>Daily!G113</f>
        <v>0.01538461538</v>
      </c>
      <c r="H23" s="46">
        <f>Daily!H113</f>
        <v>0.2769230769</v>
      </c>
      <c r="I23" s="45" t="str">
        <f>Daily!I113</f>
        <v/>
      </c>
    </row>
    <row r="24">
      <c r="A24" s="45" t="str">
        <f>Daily!A119</f>
        <v>2/2/26 Weekly Total</v>
      </c>
      <c r="B24" s="46">
        <f>Daily!B119</f>
        <v>0.35</v>
      </c>
      <c r="C24" s="46">
        <f>Daily!C119</f>
        <v>0.3</v>
      </c>
      <c r="D24" s="46">
        <f>Daily!D119</f>
        <v>0</v>
      </c>
      <c r="E24" s="46">
        <f>Daily!E119</f>
        <v>0.03205128205</v>
      </c>
      <c r="F24" s="46">
        <f>Daily!F119</f>
        <v>0.03076923077</v>
      </c>
      <c r="G24" s="46">
        <f>Daily!G119</f>
        <v>0.01538461538</v>
      </c>
      <c r="H24" s="46">
        <f>Daily!H119</f>
        <v>0.1115384615</v>
      </c>
      <c r="I24" s="45" t="str">
        <f>Daily!I119</f>
        <v/>
      </c>
    </row>
    <row r="25">
      <c r="A25" s="45" t="str">
        <f>Daily!A125</f>
        <v>2/9/26 Weekly Total</v>
      </c>
      <c r="B25" s="46">
        <f>Daily!B125</f>
        <v>0.4777777778</v>
      </c>
      <c r="C25" s="46">
        <f>Daily!C125</f>
        <v>0.1777777778</v>
      </c>
      <c r="D25" s="46">
        <f>Daily!D125</f>
        <v>0.3166666667</v>
      </c>
      <c r="E25" s="46">
        <f>Daily!E125</f>
        <v>0.05769230769</v>
      </c>
      <c r="F25" s="46">
        <f>Daily!F125</f>
        <v>0.1769230769</v>
      </c>
      <c r="G25" s="46">
        <f>Daily!G125</f>
        <v>0</v>
      </c>
      <c r="H25" s="46">
        <f>Daily!H125</f>
        <v>0.2211538462</v>
      </c>
      <c r="I25" s="45" t="str">
        <f>Daily!I125</f>
        <v/>
      </c>
    </row>
    <row r="26">
      <c r="A26" s="45" t="str">
        <f>Daily!A129</f>
        <v>2/17/26 Weekly Total</v>
      </c>
      <c r="B26" s="46">
        <f>Daily!B129</f>
        <v>0.7444444444</v>
      </c>
      <c r="C26" s="46">
        <f>Daily!C129</f>
        <v>0.3777777778</v>
      </c>
      <c r="D26" s="46">
        <f>Daily!D129</f>
        <v>0.5166666667</v>
      </c>
      <c r="E26" s="46">
        <f>Daily!E129</f>
        <v>0.01442307692</v>
      </c>
      <c r="F26" s="46">
        <f>Daily!F129</f>
        <v>0.08269230769</v>
      </c>
      <c r="G26" s="46">
        <f>Daily!G129</f>
        <v>0</v>
      </c>
      <c r="H26" s="46">
        <f>Daily!H129</f>
        <v>0.1129807692</v>
      </c>
      <c r="I26" s="45" t="str">
        <f>Daily!I129</f>
        <v/>
      </c>
    </row>
    <row r="27">
      <c r="A27" s="45" t="str">
        <f>Daily!A135</f>
        <v>2/23/26 Weekly Total</v>
      </c>
      <c r="B27" s="46">
        <f>Daily!B135</f>
        <v>1</v>
      </c>
      <c r="C27" s="46">
        <f>Daily!C135</f>
        <v>0.3333333333</v>
      </c>
      <c r="D27" s="46">
        <f>Daily!D135</f>
        <v>0.6666666667</v>
      </c>
      <c r="E27" s="46">
        <f>Daily!E135</f>
        <v>0.2307692308</v>
      </c>
      <c r="F27" s="46">
        <f>Daily!F135</f>
        <v>0</v>
      </c>
      <c r="G27" s="46">
        <f>Daily!G135</f>
        <v>0</v>
      </c>
      <c r="H27" s="46">
        <f>Daily!H135</f>
        <v>0</v>
      </c>
      <c r="I27" s="45" t="str">
        <f>Daily!I135</f>
        <v/>
      </c>
    </row>
    <row r="28">
      <c r="A28" s="45" t="str">
        <f>Daily!A140</f>
        <v>3/2/26 Weekly Total</v>
      </c>
      <c r="B28" s="46" t="str">
        <f>Daily!B140</f>
        <v>#DIV/0!</v>
      </c>
      <c r="C28" s="46" t="str">
        <f>Daily!C140</f>
        <v>#DIV/0!</v>
      </c>
      <c r="D28" s="46" t="str">
        <f>Daily!D140</f>
        <v>#DIV/0!</v>
      </c>
      <c r="E28" s="46" t="str">
        <f>Daily!E140</f>
        <v>#DIV/0!</v>
      </c>
      <c r="F28" s="46" t="str">
        <f>Daily!F140</f>
        <v>#DIV/0!</v>
      </c>
      <c r="G28" s="46" t="str">
        <f>Daily!G140</f>
        <v>#DIV/0!</v>
      </c>
      <c r="H28" s="46" t="str">
        <f>Daily!H140</f>
        <v>#DIV/0!</v>
      </c>
      <c r="I28" s="45" t="str">
        <f>Daily!I140</f>
        <v/>
      </c>
    </row>
    <row r="29">
      <c r="A29" s="45" t="str">
        <f>Daily!A145</f>
        <v>3/10/26 Weekly Total</v>
      </c>
      <c r="B29" s="46" t="str">
        <f>Daily!B145</f>
        <v>#DIV/0!</v>
      </c>
      <c r="C29" s="46" t="str">
        <f>Daily!C145</f>
        <v>#DIV/0!</v>
      </c>
      <c r="D29" s="46" t="str">
        <f>Daily!D145</f>
        <v>#DIV/0!</v>
      </c>
      <c r="E29" s="46" t="str">
        <f>Daily!E145</f>
        <v>#DIV/0!</v>
      </c>
      <c r="F29" s="46" t="str">
        <f>Daily!F145</f>
        <v>#DIV/0!</v>
      </c>
      <c r="G29" s="46" t="str">
        <f>Daily!G145</f>
        <v>#DIV/0!</v>
      </c>
      <c r="H29" s="46" t="str">
        <f>Daily!H145</f>
        <v>#DIV/0!</v>
      </c>
      <c r="I29" s="45" t="str">
        <f>Daily!I145</f>
        <v/>
      </c>
    </row>
    <row r="30">
      <c r="A30" s="45" t="str">
        <f>Daily!A151</f>
        <v>3/16/26 Weekly Total</v>
      </c>
      <c r="B30" s="46" t="str">
        <f>Daily!B151</f>
        <v>#DIV/0!</v>
      </c>
      <c r="C30" s="46" t="str">
        <f>Daily!C151</f>
        <v>#DIV/0!</v>
      </c>
      <c r="D30" s="46" t="str">
        <f>Daily!D151</f>
        <v>#DIV/0!</v>
      </c>
      <c r="E30" s="46" t="str">
        <f>Daily!E151</f>
        <v>#DIV/0!</v>
      </c>
      <c r="F30" s="46" t="str">
        <f>Daily!F151</f>
        <v>#DIV/0!</v>
      </c>
      <c r="G30" s="46" t="str">
        <f>Daily!G151</f>
        <v>#DIV/0!</v>
      </c>
      <c r="H30" s="46" t="str">
        <f>Daily!H151</f>
        <v>#DIV/0!</v>
      </c>
      <c r="I30" s="45" t="str">
        <f>Daily!I151</f>
        <v/>
      </c>
    </row>
    <row r="31">
      <c r="A31" s="45" t="str">
        <f>Daily!A157</f>
        <v>3/23/26 Weekly Total</v>
      </c>
      <c r="B31" s="46" t="str">
        <f>Daily!B157</f>
        <v>#DIV/0!</v>
      </c>
      <c r="C31" s="46" t="str">
        <f>Daily!C157</f>
        <v>#DIV/0!</v>
      </c>
      <c r="D31" s="46" t="str">
        <f>Daily!D157</f>
        <v>#DIV/0!</v>
      </c>
      <c r="E31" s="46" t="str">
        <f>Daily!E157</f>
        <v>#DIV/0!</v>
      </c>
      <c r="F31" s="46" t="str">
        <f>Daily!F157</f>
        <v>#DIV/0!</v>
      </c>
      <c r="G31" s="46" t="str">
        <f>Daily!G157</f>
        <v>#DIV/0!</v>
      </c>
      <c r="H31" s="46" t="str">
        <f>Daily!H157</f>
        <v>#DIV/0!</v>
      </c>
      <c r="I31" s="45" t="str">
        <f>Daily!I157</f>
        <v/>
      </c>
    </row>
    <row r="32">
      <c r="A32" s="45" t="str">
        <f>Daily!A163</f>
        <v>4/6/26 Weekly Total</v>
      </c>
      <c r="B32" s="46" t="str">
        <f>Daily!B163</f>
        <v>#DIV/0!</v>
      </c>
      <c r="C32" s="46" t="str">
        <f>Daily!C163</f>
        <v>#DIV/0!</v>
      </c>
      <c r="D32" s="46" t="str">
        <f>Daily!D163</f>
        <v>#DIV/0!</v>
      </c>
      <c r="E32" s="46" t="str">
        <f>Daily!E163</f>
        <v>#DIV/0!</v>
      </c>
      <c r="F32" s="46" t="str">
        <f>Daily!F163</f>
        <v>#DIV/0!</v>
      </c>
      <c r="G32" s="46" t="str">
        <f>Daily!G163</f>
        <v>#DIV/0!</v>
      </c>
      <c r="H32" s="46" t="str">
        <f>Daily!H163</f>
        <v>#DIV/0!</v>
      </c>
      <c r="I32" s="45" t="str">
        <f>Daily!I163</f>
        <v/>
      </c>
    </row>
    <row r="33">
      <c r="A33" s="45" t="str">
        <f>Daily!A169</f>
        <v>4/13/26 Weekly Total</v>
      </c>
      <c r="B33" s="46" t="str">
        <f>Daily!B169</f>
        <v>#DIV/0!</v>
      </c>
      <c r="C33" s="46" t="str">
        <f>Daily!C169</f>
        <v>#DIV/0!</v>
      </c>
      <c r="D33" s="46" t="str">
        <f>Daily!D169</f>
        <v>#DIV/0!</v>
      </c>
      <c r="E33" s="46" t="str">
        <f>Daily!E169</f>
        <v>#DIV/0!</v>
      </c>
      <c r="F33" s="46" t="str">
        <f>Daily!F169</f>
        <v>#DIV/0!</v>
      </c>
      <c r="G33" s="46" t="str">
        <f>Daily!G169</f>
        <v>#DIV/0!</v>
      </c>
      <c r="H33" s="46" t="str">
        <f>Daily!H169</f>
        <v>#DIV/0!</v>
      </c>
      <c r="I33" s="45" t="str">
        <f>Daily!I169</f>
        <v/>
      </c>
    </row>
    <row r="34">
      <c r="A34" s="45" t="str">
        <f>Daily!A175</f>
        <v>4/20/26 Weekly Total</v>
      </c>
      <c r="B34" s="46" t="str">
        <f>Daily!B175</f>
        <v>#DIV/0!</v>
      </c>
      <c r="C34" s="46" t="str">
        <f>Daily!C175</f>
        <v>#DIV/0!</v>
      </c>
      <c r="D34" s="46" t="str">
        <f>Daily!D175</f>
        <v>#DIV/0!</v>
      </c>
      <c r="E34" s="46" t="str">
        <f>Daily!E175</f>
        <v>#DIV/0!</v>
      </c>
      <c r="F34" s="46" t="str">
        <f>Daily!F175</f>
        <v>#DIV/0!</v>
      </c>
      <c r="G34" s="46" t="str">
        <f>Daily!G175</f>
        <v>#DIV/0!</v>
      </c>
      <c r="H34" s="46" t="str">
        <f>Daily!H175</f>
        <v>#DIV/0!</v>
      </c>
      <c r="I34" s="45" t="str">
        <f>Daily!I175</f>
        <v/>
      </c>
    </row>
    <row r="35">
      <c r="A35" s="45" t="str">
        <f>Daily!A181</f>
        <v>4/27/26 Weekly Total</v>
      </c>
      <c r="B35" s="46" t="str">
        <f>Daily!B181</f>
        <v>#DIV/0!</v>
      </c>
      <c r="C35" s="46" t="str">
        <f>Daily!C181</f>
        <v>#DIV/0!</v>
      </c>
      <c r="D35" s="46" t="str">
        <f>Daily!D181</f>
        <v>#DIV/0!</v>
      </c>
      <c r="E35" s="46" t="str">
        <f>Daily!E181</f>
        <v>#DIV/0!</v>
      </c>
      <c r="F35" s="46" t="str">
        <f>Daily!F181</f>
        <v>#DIV/0!</v>
      </c>
      <c r="G35" s="46" t="str">
        <f>Daily!G181</f>
        <v>#DIV/0!</v>
      </c>
      <c r="H35" s="46" t="str">
        <f>Daily!H181</f>
        <v>#DIV/0!</v>
      </c>
      <c r="I35" s="45" t="str">
        <f>Daily!I181</f>
        <v/>
      </c>
    </row>
    <row r="36">
      <c r="A36" s="45" t="str">
        <f>Daily!A187</f>
        <v>5/4/26 Weekly Total</v>
      </c>
      <c r="B36" s="46" t="str">
        <f>Daily!B187</f>
        <v>#DIV/0!</v>
      </c>
      <c r="C36" s="46" t="str">
        <f>Daily!C187</f>
        <v>#DIV/0!</v>
      </c>
      <c r="D36" s="46" t="str">
        <f>Daily!D187</f>
        <v>#DIV/0!</v>
      </c>
      <c r="E36" s="46" t="str">
        <f>Daily!E187</f>
        <v>#DIV/0!</v>
      </c>
      <c r="F36" s="46" t="str">
        <f>Daily!F187</f>
        <v>#DIV/0!</v>
      </c>
      <c r="G36" s="46" t="str">
        <f>Daily!G187</f>
        <v>#DIV/0!</v>
      </c>
      <c r="H36" s="46" t="str">
        <f>Daily!H187</f>
        <v>#DIV/0!</v>
      </c>
      <c r="I36" s="45" t="str">
        <f>Daily!I187</f>
        <v/>
      </c>
    </row>
    <row r="37">
      <c r="A37" s="45" t="str">
        <f>Daily!A193</f>
        <v>5/11/26 Weekly Total</v>
      </c>
      <c r="B37" s="46" t="str">
        <f>Daily!B193</f>
        <v>#DIV/0!</v>
      </c>
      <c r="C37" s="46" t="str">
        <f>Daily!C193</f>
        <v>#DIV/0!</v>
      </c>
      <c r="D37" s="46" t="str">
        <f>Daily!D193</f>
        <v>#DIV/0!</v>
      </c>
      <c r="E37" s="46" t="str">
        <f>Daily!E193</f>
        <v>#DIV/0!</v>
      </c>
      <c r="F37" s="46" t="str">
        <f>Daily!F193</f>
        <v>#DIV/0!</v>
      </c>
      <c r="G37" s="46" t="str">
        <f>Daily!G193</f>
        <v>#DIV/0!</v>
      </c>
      <c r="H37" s="46" t="str">
        <f>Daily!H193</f>
        <v>#DIV/0!</v>
      </c>
      <c r="I37" s="45" t="str">
        <f>Daily!I193</f>
        <v/>
      </c>
    </row>
    <row r="38">
      <c r="A38" s="45" t="str">
        <f>Daily!A199</f>
        <v>5/18/26 Weekly Total</v>
      </c>
      <c r="B38" s="46" t="str">
        <f>Daily!B199</f>
        <v>#DIV/0!</v>
      </c>
      <c r="C38" s="46" t="str">
        <f>Daily!C199</f>
        <v>#DIV/0!</v>
      </c>
      <c r="D38" s="46" t="str">
        <f>Daily!D199</f>
        <v>#DIV/0!</v>
      </c>
      <c r="E38" s="46" t="str">
        <f>Daily!E199</f>
        <v>#DIV/0!</v>
      </c>
      <c r="F38" s="46" t="str">
        <f>Daily!F199</f>
        <v>#DIV/0!</v>
      </c>
      <c r="G38" s="46" t="str">
        <f>Daily!G199</f>
        <v>#DIV/0!</v>
      </c>
      <c r="H38" s="46" t="str">
        <f>Daily!H199</f>
        <v>#DIV/0!</v>
      </c>
      <c r="I38" s="45" t="str">
        <f>Daily!I199</f>
        <v/>
      </c>
    </row>
    <row r="39">
      <c r="A39" s="45" t="str">
        <f>Daily!A204</f>
        <v>5/26/26 Weekly Total</v>
      </c>
      <c r="B39" s="46" t="str">
        <f>Daily!B204</f>
        <v>#DIV/0!</v>
      </c>
      <c r="C39" s="46" t="str">
        <f>Daily!C204</f>
        <v>#DIV/0!</v>
      </c>
      <c r="D39" s="46" t="str">
        <f>Daily!D204</f>
        <v>#DIV/0!</v>
      </c>
      <c r="E39" s="46" t="str">
        <f>Daily!E204</f>
        <v>#DIV/0!</v>
      </c>
      <c r="F39" s="46" t="str">
        <f>Daily!F204</f>
        <v>#DIV/0!</v>
      </c>
      <c r="G39" s="46" t="str">
        <f>Daily!G204</f>
        <v>#DIV/0!</v>
      </c>
      <c r="H39" s="46" t="str">
        <f>Daily!H204</f>
        <v>#DIV/0!</v>
      </c>
      <c r="I39" s="45" t="str">
        <f>Daily!I204</f>
        <v/>
      </c>
    </row>
    <row r="40">
      <c r="A40" s="45" t="str">
        <f>Daily!A210</f>
        <v>6/1/26 Weekly Total</v>
      </c>
      <c r="B40" s="46" t="str">
        <f>Daily!B210</f>
        <v>#DIV/0!</v>
      </c>
      <c r="C40" s="46" t="str">
        <f>Daily!C210</f>
        <v>#DIV/0!</v>
      </c>
      <c r="D40" s="46" t="str">
        <f>Daily!D210</f>
        <v>#DIV/0!</v>
      </c>
      <c r="E40" s="46" t="str">
        <f>Daily!E210</f>
        <v>#DIV/0!</v>
      </c>
      <c r="F40" s="46" t="str">
        <f>Daily!F210</f>
        <v>#DIV/0!</v>
      </c>
      <c r="G40" s="46" t="str">
        <f>Daily!G210</f>
        <v>#DIV/0!</v>
      </c>
      <c r="H40" s="46" t="str">
        <f>Daily!H210</f>
        <v>#DIV/0!</v>
      </c>
      <c r="I40" s="45" t="str">
        <f>Daily!I210</f>
        <v/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4.38"/>
    <col customWidth="1" min="2" max="2" width="3.38"/>
    <col customWidth="1" min="3" max="16" width="5.25"/>
    <col customWidth="1" min="17" max="17" width="2.88"/>
    <col customWidth="1" min="18" max="19" width="9.0"/>
    <col customWidth="1" min="20" max="20" width="23.38"/>
  </cols>
  <sheetData>
    <row r="1" ht="136.5" customHeight="1">
      <c r="A1" s="47" t="s">
        <v>8</v>
      </c>
      <c r="B1" s="47" t="s">
        <v>71</v>
      </c>
      <c r="C1" s="48" t="s">
        <v>72</v>
      </c>
      <c r="D1" s="48" t="s">
        <v>73</v>
      </c>
      <c r="E1" s="48" t="s">
        <v>74</v>
      </c>
      <c r="F1" s="48" t="s">
        <v>75</v>
      </c>
      <c r="G1" s="48" t="s">
        <v>76</v>
      </c>
      <c r="H1" s="48" t="s">
        <v>77</v>
      </c>
      <c r="I1" s="48" t="s">
        <v>78</v>
      </c>
      <c r="J1" s="48" t="s">
        <v>79</v>
      </c>
      <c r="K1" s="48" t="s">
        <v>80</v>
      </c>
      <c r="L1" s="48" t="s">
        <v>81</v>
      </c>
      <c r="M1" s="48" t="s">
        <v>82</v>
      </c>
      <c r="N1" s="48" t="s">
        <v>83</v>
      </c>
      <c r="O1" s="48" t="s">
        <v>84</v>
      </c>
      <c r="P1" s="49" t="s">
        <v>85</v>
      </c>
      <c r="Q1" s="50"/>
      <c r="R1" s="51" t="s">
        <v>86</v>
      </c>
      <c r="S1" s="52">
        <f>AVERAGEIF(R:R,"&gt;0")</f>
        <v>0.833943779</v>
      </c>
      <c r="T1" s="53"/>
      <c r="U1" s="53"/>
      <c r="X1" s="54"/>
    </row>
    <row r="2" ht="25.5" customHeight="1">
      <c r="A2" s="47" t="s">
        <v>87</v>
      </c>
      <c r="B2" s="47"/>
      <c r="C2" s="55">
        <f t="shared" ref="C2:O2" si="1">countif(C3:C104, "&lt;&gt;") - COUNTIF(C3:C104, "in class")</f>
        <v>10</v>
      </c>
      <c r="D2" s="55">
        <f t="shared" si="1"/>
        <v>24</v>
      </c>
      <c r="E2" s="55">
        <f t="shared" si="1"/>
        <v>25</v>
      </c>
      <c r="F2" s="55">
        <f t="shared" si="1"/>
        <v>26</v>
      </c>
      <c r="G2" s="55">
        <f t="shared" si="1"/>
        <v>25</v>
      </c>
      <c r="H2" s="55">
        <f t="shared" si="1"/>
        <v>10</v>
      </c>
      <c r="I2" s="55">
        <f t="shared" si="1"/>
        <v>18</v>
      </c>
      <c r="J2" s="55">
        <f t="shared" si="1"/>
        <v>13</v>
      </c>
      <c r="K2" s="55">
        <f t="shared" si="1"/>
        <v>5</v>
      </c>
      <c r="L2" s="55">
        <f t="shared" si="1"/>
        <v>6</v>
      </c>
      <c r="M2" s="55">
        <f t="shared" si="1"/>
        <v>17</v>
      </c>
      <c r="N2" s="55">
        <f t="shared" si="1"/>
        <v>15</v>
      </c>
      <c r="O2" s="55">
        <f t="shared" si="1"/>
        <v>14</v>
      </c>
      <c r="P2" s="49"/>
      <c r="Q2" s="50"/>
      <c r="R2" s="51"/>
      <c r="S2" s="51"/>
      <c r="T2" s="56"/>
      <c r="U2" s="53"/>
      <c r="X2" s="54"/>
      <c r="Y2" s="54"/>
    </row>
    <row r="3">
      <c r="A3" s="57">
        <v>45902.0</v>
      </c>
      <c r="B3" s="58"/>
      <c r="C3" s="59" t="s">
        <v>88</v>
      </c>
      <c r="D3" s="59" t="s">
        <v>88</v>
      </c>
      <c r="E3" s="59" t="s">
        <v>88</v>
      </c>
      <c r="F3" s="59" t="s">
        <v>88</v>
      </c>
      <c r="G3" s="59" t="s">
        <v>88</v>
      </c>
      <c r="H3" s="59" t="s">
        <v>88</v>
      </c>
      <c r="I3" s="59" t="s">
        <v>88</v>
      </c>
      <c r="J3" s="59" t="s">
        <v>88</v>
      </c>
      <c r="K3" s="59" t="s">
        <v>88</v>
      </c>
      <c r="L3" s="59" t="s">
        <v>88</v>
      </c>
      <c r="M3" s="59" t="s">
        <v>88</v>
      </c>
      <c r="N3" s="59" t="s">
        <v>88</v>
      </c>
      <c r="O3" s="59" t="s">
        <v>88</v>
      </c>
      <c r="P3" s="60">
        <f t="shared" ref="P3:P104" si="2">COUNTIF(C3:O3,"In class")</f>
        <v>13</v>
      </c>
      <c r="Q3" s="61">
        <v>13.0</v>
      </c>
      <c r="R3" s="62">
        <f t="shared" ref="R3:R104" si="3">P3/Q3</f>
        <v>1</v>
      </c>
      <c r="S3" s="61" t="s">
        <v>89</v>
      </c>
      <c r="X3" s="54"/>
    </row>
    <row r="4">
      <c r="A4" s="57">
        <v>45903.0</v>
      </c>
      <c r="B4" s="58"/>
      <c r="C4" s="59" t="s">
        <v>88</v>
      </c>
      <c r="D4" s="59" t="s">
        <v>88</v>
      </c>
      <c r="E4" s="59" t="s">
        <v>88</v>
      </c>
      <c r="F4" s="59" t="s">
        <v>88</v>
      </c>
      <c r="G4" s="59" t="s">
        <v>90</v>
      </c>
      <c r="H4" s="59" t="s">
        <v>88</v>
      </c>
      <c r="I4" s="59" t="s">
        <v>88</v>
      </c>
      <c r="J4" s="59" t="s">
        <v>88</v>
      </c>
      <c r="K4" s="59" t="s">
        <v>88</v>
      </c>
      <c r="L4" s="59" t="s">
        <v>88</v>
      </c>
      <c r="M4" s="59" t="s">
        <v>88</v>
      </c>
      <c r="N4" s="59" t="s">
        <v>88</v>
      </c>
      <c r="O4" s="59" t="s">
        <v>88</v>
      </c>
      <c r="P4" s="60">
        <f t="shared" si="2"/>
        <v>12</v>
      </c>
      <c r="Q4" s="61">
        <v>13.0</v>
      </c>
      <c r="R4" s="62">
        <f t="shared" si="3"/>
        <v>0.9230769231</v>
      </c>
      <c r="S4" s="63"/>
      <c r="X4" s="54"/>
    </row>
    <row r="5">
      <c r="A5" s="57">
        <v>45904.0</v>
      </c>
      <c r="B5" s="58"/>
      <c r="C5" s="59" t="s">
        <v>88</v>
      </c>
      <c r="D5" s="59" t="s">
        <v>88</v>
      </c>
      <c r="E5" s="59" t="s">
        <v>88</v>
      </c>
      <c r="F5" s="59" t="s">
        <v>88</v>
      </c>
      <c r="G5" s="59" t="s">
        <v>88</v>
      </c>
      <c r="H5" s="59" t="s">
        <v>88</v>
      </c>
      <c r="I5" s="59" t="s">
        <v>88</v>
      </c>
      <c r="J5" s="59" t="s">
        <v>88</v>
      </c>
      <c r="K5" s="59" t="s">
        <v>88</v>
      </c>
      <c r="L5" s="59" t="s">
        <v>88</v>
      </c>
      <c r="M5" s="59" t="s">
        <v>88</v>
      </c>
      <c r="N5" s="59" t="s">
        <v>88</v>
      </c>
      <c r="O5" s="59" t="s">
        <v>88</v>
      </c>
      <c r="P5" s="60">
        <f t="shared" si="2"/>
        <v>13</v>
      </c>
      <c r="Q5" s="61">
        <v>13.0</v>
      </c>
      <c r="R5" s="62">
        <f t="shared" si="3"/>
        <v>1</v>
      </c>
      <c r="S5" s="61" t="s">
        <v>89</v>
      </c>
      <c r="X5" s="54"/>
    </row>
    <row r="6">
      <c r="A6" s="57">
        <v>45905.0</v>
      </c>
      <c r="B6" s="64"/>
      <c r="C6" s="59" t="s">
        <v>88</v>
      </c>
      <c r="D6" s="59" t="s">
        <v>88</v>
      </c>
      <c r="E6" s="59" t="s">
        <v>88</v>
      </c>
      <c r="F6" s="59" t="s">
        <v>88</v>
      </c>
      <c r="G6" s="59" t="s">
        <v>88</v>
      </c>
      <c r="H6" s="59" t="s">
        <v>91</v>
      </c>
      <c r="I6" s="59" t="s">
        <v>88</v>
      </c>
      <c r="J6" s="59" t="s">
        <v>88</v>
      </c>
      <c r="K6" s="59" t="s">
        <v>88</v>
      </c>
      <c r="L6" s="59" t="s">
        <v>88</v>
      </c>
      <c r="M6" s="59" t="s">
        <v>88</v>
      </c>
      <c r="N6" s="59" t="s">
        <v>88</v>
      </c>
      <c r="O6" s="59" t="s">
        <v>88</v>
      </c>
      <c r="P6" s="60">
        <f t="shared" si="2"/>
        <v>12</v>
      </c>
      <c r="Q6" s="61">
        <v>13.0</v>
      </c>
      <c r="R6" s="62">
        <f t="shared" si="3"/>
        <v>0.9230769231</v>
      </c>
      <c r="S6" s="63"/>
      <c r="X6" s="54"/>
    </row>
    <row r="7">
      <c r="A7" s="57">
        <v>45908.0</v>
      </c>
      <c r="B7" s="64"/>
      <c r="C7" s="59" t="s">
        <v>88</v>
      </c>
      <c r="D7" s="59" t="s">
        <v>88</v>
      </c>
      <c r="E7" s="59" t="s">
        <v>88</v>
      </c>
      <c r="F7" s="59" t="s">
        <v>88</v>
      </c>
      <c r="G7" s="59" t="s">
        <v>88</v>
      </c>
      <c r="H7" s="59" t="s">
        <v>88</v>
      </c>
      <c r="I7" s="59" t="s">
        <v>88</v>
      </c>
      <c r="J7" s="59" t="s">
        <v>88</v>
      </c>
      <c r="K7" s="59" t="s">
        <v>88</v>
      </c>
      <c r="L7" s="59" t="s">
        <v>88</v>
      </c>
      <c r="M7" s="59" t="s">
        <v>88</v>
      </c>
      <c r="N7" s="59" t="s">
        <v>88</v>
      </c>
      <c r="O7" s="59" t="s">
        <v>88</v>
      </c>
      <c r="P7" s="60">
        <f t="shared" si="2"/>
        <v>13</v>
      </c>
      <c r="Q7" s="61">
        <v>13.0</v>
      </c>
      <c r="R7" s="62">
        <f t="shared" si="3"/>
        <v>1</v>
      </c>
      <c r="S7" s="61" t="s">
        <v>89</v>
      </c>
      <c r="X7" s="54"/>
      <c r="Y7" s="54"/>
    </row>
    <row r="8">
      <c r="A8" s="57">
        <v>45909.0</v>
      </c>
      <c r="B8" s="64"/>
      <c r="C8" s="59" t="s">
        <v>88</v>
      </c>
      <c r="D8" s="59" t="s">
        <v>88</v>
      </c>
      <c r="E8" s="59" t="s">
        <v>88</v>
      </c>
      <c r="F8" s="59" t="s">
        <v>88</v>
      </c>
      <c r="G8" s="59" t="s">
        <v>88</v>
      </c>
      <c r="H8" s="59" t="s">
        <v>88</v>
      </c>
      <c r="I8" s="59" t="s">
        <v>88</v>
      </c>
      <c r="J8" s="59" t="s">
        <v>88</v>
      </c>
      <c r="K8" s="59" t="s">
        <v>90</v>
      </c>
      <c r="L8" s="59" t="s">
        <v>88</v>
      </c>
      <c r="M8" s="59" t="s">
        <v>88</v>
      </c>
      <c r="N8" s="59" t="s">
        <v>88</v>
      </c>
      <c r="O8" s="59" t="s">
        <v>88</v>
      </c>
      <c r="P8" s="60">
        <f t="shared" si="2"/>
        <v>12</v>
      </c>
      <c r="Q8" s="61">
        <v>13.0</v>
      </c>
      <c r="R8" s="62">
        <f t="shared" si="3"/>
        <v>0.9230769231</v>
      </c>
      <c r="S8" s="63"/>
      <c r="X8" s="54"/>
    </row>
    <row r="9">
      <c r="A9" s="57">
        <v>45910.0</v>
      </c>
      <c r="B9" s="64"/>
      <c r="C9" s="59" t="s">
        <v>88</v>
      </c>
      <c r="D9" s="59" t="s">
        <v>88</v>
      </c>
      <c r="E9" s="59" t="s">
        <v>88</v>
      </c>
      <c r="F9" s="59" t="s">
        <v>88</v>
      </c>
      <c r="G9" s="59" t="s">
        <v>88</v>
      </c>
      <c r="H9" s="59" t="s">
        <v>91</v>
      </c>
      <c r="I9" s="59" t="s">
        <v>88</v>
      </c>
      <c r="J9" s="59" t="s">
        <v>88</v>
      </c>
      <c r="K9" s="59" t="s">
        <v>88</v>
      </c>
      <c r="L9" s="59" t="s">
        <v>88</v>
      </c>
      <c r="M9" s="59" t="s">
        <v>88</v>
      </c>
      <c r="N9" s="59" t="s">
        <v>88</v>
      </c>
      <c r="O9" s="59" t="s">
        <v>88</v>
      </c>
      <c r="P9" s="60">
        <f t="shared" si="2"/>
        <v>12</v>
      </c>
      <c r="Q9" s="61">
        <v>13.0</v>
      </c>
      <c r="R9" s="62">
        <f t="shared" si="3"/>
        <v>0.9230769231</v>
      </c>
      <c r="S9" s="63"/>
      <c r="X9" s="54"/>
    </row>
    <row r="10">
      <c r="A10" s="57">
        <v>45911.0</v>
      </c>
      <c r="B10" s="64"/>
      <c r="C10" s="59" t="s">
        <v>88</v>
      </c>
      <c r="D10" s="59" t="s">
        <v>88</v>
      </c>
      <c r="E10" s="59" t="s">
        <v>88</v>
      </c>
      <c r="F10" s="59" t="s">
        <v>88</v>
      </c>
      <c r="G10" s="59" t="s">
        <v>88</v>
      </c>
      <c r="H10" s="59" t="s">
        <v>88</v>
      </c>
      <c r="I10" s="59" t="s">
        <v>88</v>
      </c>
      <c r="J10" s="59" t="s">
        <v>88</v>
      </c>
      <c r="K10" s="59" t="s">
        <v>88</v>
      </c>
      <c r="L10" s="59" t="s">
        <v>88</v>
      </c>
      <c r="M10" s="59" t="s">
        <v>88</v>
      </c>
      <c r="N10" s="59" t="s">
        <v>88</v>
      </c>
      <c r="O10" s="59" t="s">
        <v>88</v>
      </c>
      <c r="P10" s="60">
        <f t="shared" si="2"/>
        <v>13</v>
      </c>
      <c r="Q10" s="61">
        <v>13.0</v>
      </c>
      <c r="R10" s="62">
        <f t="shared" si="3"/>
        <v>1</v>
      </c>
      <c r="S10" s="61" t="s">
        <v>89</v>
      </c>
      <c r="X10" s="54"/>
    </row>
    <row r="11">
      <c r="A11" s="57">
        <v>45912.0</v>
      </c>
      <c r="B11" s="64"/>
      <c r="C11" s="59" t="s">
        <v>88</v>
      </c>
      <c r="D11" s="59" t="s">
        <v>90</v>
      </c>
      <c r="E11" s="59" t="s">
        <v>88</v>
      </c>
      <c r="F11" s="59" t="s">
        <v>88</v>
      </c>
      <c r="G11" s="59" t="s">
        <v>88</v>
      </c>
      <c r="H11" s="59" t="s">
        <v>88</v>
      </c>
      <c r="I11" s="59" t="s">
        <v>88</v>
      </c>
      <c r="J11" s="59" t="s">
        <v>88</v>
      </c>
      <c r="K11" s="59" t="s">
        <v>88</v>
      </c>
      <c r="L11" s="59" t="s">
        <v>88</v>
      </c>
      <c r="M11" s="59"/>
      <c r="N11" s="59"/>
      <c r="O11" s="59"/>
      <c r="P11" s="60">
        <f t="shared" si="2"/>
        <v>9</v>
      </c>
      <c r="Q11" s="61">
        <v>10.0</v>
      </c>
      <c r="R11" s="62">
        <f t="shared" si="3"/>
        <v>0.9</v>
      </c>
      <c r="S11" s="61" t="s">
        <v>92</v>
      </c>
      <c r="X11" s="54"/>
    </row>
    <row r="12">
      <c r="A12" s="57">
        <v>45915.0</v>
      </c>
      <c r="B12" s="64"/>
      <c r="C12" s="59" t="s">
        <v>90</v>
      </c>
      <c r="D12" s="59" t="s">
        <v>88</v>
      </c>
      <c r="E12" s="59" t="s">
        <v>88</v>
      </c>
      <c r="F12" s="59" t="s">
        <v>88</v>
      </c>
      <c r="G12" s="59" t="s">
        <v>88</v>
      </c>
      <c r="H12" s="59" t="s">
        <v>88</v>
      </c>
      <c r="I12" s="59" t="s">
        <v>88</v>
      </c>
      <c r="J12" s="59" t="s">
        <v>88</v>
      </c>
      <c r="K12" s="59" t="s">
        <v>88</v>
      </c>
      <c r="L12" s="59" t="s">
        <v>88</v>
      </c>
      <c r="M12" s="59" t="s">
        <v>88</v>
      </c>
      <c r="N12" s="59" t="s">
        <v>88</v>
      </c>
      <c r="O12" s="59" t="s">
        <v>88</v>
      </c>
      <c r="P12" s="60">
        <f t="shared" si="2"/>
        <v>12</v>
      </c>
      <c r="Q12" s="61">
        <v>13.0</v>
      </c>
      <c r="R12" s="62">
        <f t="shared" si="3"/>
        <v>0.9230769231</v>
      </c>
      <c r="S12" s="63"/>
      <c r="X12" s="54"/>
    </row>
    <row r="13">
      <c r="A13" s="57">
        <v>45916.0</v>
      </c>
      <c r="B13" s="64"/>
      <c r="C13" s="59" t="s">
        <v>90</v>
      </c>
      <c r="D13" s="59" t="s">
        <v>90</v>
      </c>
      <c r="E13" s="59" t="s">
        <v>91</v>
      </c>
      <c r="F13" s="59" t="s">
        <v>90</v>
      </c>
      <c r="G13" s="59" t="s">
        <v>88</v>
      </c>
      <c r="H13" s="59" t="s">
        <v>88</v>
      </c>
      <c r="I13" s="59" t="s">
        <v>88</v>
      </c>
      <c r="J13" s="59" t="s">
        <v>88</v>
      </c>
      <c r="K13" s="59" t="s">
        <v>88</v>
      </c>
      <c r="L13" s="59" t="s">
        <v>88</v>
      </c>
      <c r="M13" s="59" t="s">
        <v>88</v>
      </c>
      <c r="N13" s="59" t="s">
        <v>88</v>
      </c>
      <c r="O13" s="59" t="s">
        <v>88</v>
      </c>
      <c r="P13" s="60">
        <f t="shared" si="2"/>
        <v>9</v>
      </c>
      <c r="Q13" s="61">
        <v>13.0</v>
      </c>
      <c r="R13" s="62">
        <f t="shared" si="3"/>
        <v>0.6923076923</v>
      </c>
      <c r="S13" s="63"/>
      <c r="X13" s="54"/>
    </row>
    <row r="14">
      <c r="A14" s="57">
        <v>45917.0</v>
      </c>
      <c r="B14" s="64"/>
      <c r="C14" s="59" t="s">
        <v>88</v>
      </c>
      <c r="D14" s="59" t="s">
        <v>88</v>
      </c>
      <c r="E14" s="59" t="s">
        <v>88</v>
      </c>
      <c r="F14" s="59" t="s">
        <v>88</v>
      </c>
      <c r="G14" s="59" t="s">
        <v>88</v>
      </c>
      <c r="H14" s="59" t="s">
        <v>88</v>
      </c>
      <c r="I14" s="59" t="s">
        <v>88</v>
      </c>
      <c r="J14" s="59" t="s">
        <v>88</v>
      </c>
      <c r="K14" s="59" t="s">
        <v>88</v>
      </c>
      <c r="L14" s="59" t="s">
        <v>88</v>
      </c>
      <c r="M14" s="59" t="s">
        <v>88</v>
      </c>
      <c r="N14" s="59" t="s">
        <v>88</v>
      </c>
      <c r="O14" s="59" t="s">
        <v>88</v>
      </c>
      <c r="P14" s="60">
        <f t="shared" si="2"/>
        <v>13</v>
      </c>
      <c r="Q14" s="61">
        <v>13.0</v>
      </c>
      <c r="R14" s="62">
        <f t="shared" si="3"/>
        <v>1</v>
      </c>
      <c r="S14" s="61" t="s">
        <v>89</v>
      </c>
      <c r="X14" s="54"/>
    </row>
    <row r="15">
      <c r="A15" s="57">
        <v>45918.0</v>
      </c>
      <c r="B15" s="64"/>
      <c r="C15" s="59" t="s">
        <v>88</v>
      </c>
      <c r="D15" s="59" t="s">
        <v>88</v>
      </c>
      <c r="E15" s="59" t="s">
        <v>88</v>
      </c>
      <c r="F15" s="59" t="s">
        <v>90</v>
      </c>
      <c r="G15" s="59" t="s">
        <v>91</v>
      </c>
      <c r="H15" s="59" t="s">
        <v>88</v>
      </c>
      <c r="I15" s="59" t="s">
        <v>88</v>
      </c>
      <c r="J15" s="59" t="s">
        <v>88</v>
      </c>
      <c r="K15" s="59" t="s">
        <v>90</v>
      </c>
      <c r="L15" s="59" t="s">
        <v>88</v>
      </c>
      <c r="M15" s="59" t="s">
        <v>88</v>
      </c>
      <c r="N15" s="59" t="s">
        <v>88</v>
      </c>
      <c r="O15" s="59" t="s">
        <v>88</v>
      </c>
      <c r="P15" s="60">
        <f t="shared" si="2"/>
        <v>10</v>
      </c>
      <c r="Q15" s="61">
        <v>13.0</v>
      </c>
      <c r="R15" s="62">
        <f t="shared" si="3"/>
        <v>0.7692307692</v>
      </c>
      <c r="S15" s="65"/>
      <c r="X15" s="54"/>
    </row>
    <row r="16">
      <c r="A16" s="57">
        <v>45919.0</v>
      </c>
      <c r="B16" s="64"/>
      <c r="C16" s="59" t="s">
        <v>88</v>
      </c>
      <c r="D16" s="59" t="s">
        <v>91</v>
      </c>
      <c r="E16" s="59" t="s">
        <v>88</v>
      </c>
      <c r="F16" s="59" t="s">
        <v>90</v>
      </c>
      <c r="G16" s="59" t="s">
        <v>88</v>
      </c>
      <c r="H16" s="59" t="s">
        <v>88</v>
      </c>
      <c r="I16" s="59" t="s">
        <v>88</v>
      </c>
      <c r="J16" s="59" t="s">
        <v>88</v>
      </c>
      <c r="K16" s="59" t="s">
        <v>88</v>
      </c>
      <c r="L16" s="59" t="s">
        <v>88</v>
      </c>
      <c r="M16" s="59" t="s">
        <v>88</v>
      </c>
      <c r="N16" s="59" t="s">
        <v>88</v>
      </c>
      <c r="O16" s="59" t="s">
        <v>88</v>
      </c>
      <c r="P16" s="60">
        <f t="shared" si="2"/>
        <v>11</v>
      </c>
      <c r="Q16" s="61">
        <v>13.0</v>
      </c>
      <c r="R16" s="62">
        <f t="shared" si="3"/>
        <v>0.8461538462</v>
      </c>
      <c r="S16" s="63"/>
      <c r="X16" s="54"/>
    </row>
    <row r="17">
      <c r="A17" s="57">
        <v>45922.0</v>
      </c>
      <c r="B17" s="64"/>
      <c r="C17" s="59" t="s">
        <v>88</v>
      </c>
      <c r="D17" s="59" t="s">
        <v>88</v>
      </c>
      <c r="E17" s="59" t="s">
        <v>90</v>
      </c>
      <c r="F17" s="59" t="s">
        <v>88</v>
      </c>
      <c r="G17" s="59" t="s">
        <v>88</v>
      </c>
      <c r="H17" s="59" t="s">
        <v>88</v>
      </c>
      <c r="I17" s="59" t="s">
        <v>88</v>
      </c>
      <c r="J17" s="59" t="s">
        <v>88</v>
      </c>
      <c r="K17" s="59" t="s">
        <v>88</v>
      </c>
      <c r="L17" s="59" t="s">
        <v>88</v>
      </c>
      <c r="M17" s="59" t="s">
        <v>88</v>
      </c>
      <c r="N17" s="59" t="s">
        <v>88</v>
      </c>
      <c r="O17" s="59" t="s">
        <v>88</v>
      </c>
      <c r="P17" s="60">
        <f t="shared" si="2"/>
        <v>12</v>
      </c>
      <c r="Q17" s="61">
        <v>13.0</v>
      </c>
      <c r="R17" s="62">
        <f t="shared" si="3"/>
        <v>0.9230769231</v>
      </c>
      <c r="S17" s="63"/>
      <c r="X17" s="54"/>
    </row>
    <row r="18">
      <c r="A18" s="57">
        <v>45923.0</v>
      </c>
      <c r="B18" s="64"/>
      <c r="C18" s="59" t="s">
        <v>88</v>
      </c>
      <c r="D18" s="59" t="s">
        <v>90</v>
      </c>
      <c r="E18" s="59" t="s">
        <v>88</v>
      </c>
      <c r="F18" s="59" t="s">
        <v>91</v>
      </c>
      <c r="G18" s="59" t="s">
        <v>88</v>
      </c>
      <c r="H18" s="59" t="s">
        <v>88</v>
      </c>
      <c r="I18" s="59" t="s">
        <v>88</v>
      </c>
      <c r="J18" s="59" t="s">
        <v>88</v>
      </c>
      <c r="K18" s="59" t="s">
        <v>90</v>
      </c>
      <c r="L18" s="59" t="s">
        <v>88</v>
      </c>
      <c r="M18" s="59" t="s">
        <v>88</v>
      </c>
      <c r="N18" s="59" t="s">
        <v>88</v>
      </c>
      <c r="O18" s="59" t="s">
        <v>88</v>
      </c>
      <c r="P18" s="60">
        <f t="shared" si="2"/>
        <v>10</v>
      </c>
      <c r="Q18" s="61">
        <v>13.0</v>
      </c>
      <c r="R18" s="62">
        <f t="shared" si="3"/>
        <v>0.7692307692</v>
      </c>
      <c r="S18" s="63"/>
      <c r="X18" s="54"/>
    </row>
    <row r="19">
      <c r="A19" s="57">
        <v>45924.0</v>
      </c>
      <c r="B19" s="64"/>
      <c r="C19" s="59" t="s">
        <v>88</v>
      </c>
      <c r="D19" s="59" t="s">
        <v>90</v>
      </c>
      <c r="E19" s="59" t="s">
        <v>91</v>
      </c>
      <c r="F19" s="59" t="s">
        <v>88</v>
      </c>
      <c r="G19" s="59" t="s">
        <v>88</v>
      </c>
      <c r="H19" s="59" t="s">
        <v>88</v>
      </c>
      <c r="I19" s="59" t="s">
        <v>88</v>
      </c>
      <c r="J19" s="59" t="s">
        <v>88</v>
      </c>
      <c r="K19" s="59" t="s">
        <v>91</v>
      </c>
      <c r="L19" s="59" t="s">
        <v>88</v>
      </c>
      <c r="M19" s="59" t="s">
        <v>88</v>
      </c>
      <c r="N19" s="59" t="s">
        <v>90</v>
      </c>
      <c r="O19" s="59" t="s">
        <v>88</v>
      </c>
      <c r="P19" s="60">
        <f t="shared" si="2"/>
        <v>9</v>
      </c>
      <c r="Q19" s="61">
        <v>13.0</v>
      </c>
      <c r="R19" s="62">
        <f t="shared" si="3"/>
        <v>0.6923076923</v>
      </c>
      <c r="S19" s="63"/>
      <c r="X19" s="54"/>
    </row>
    <row r="20">
      <c r="A20" s="57">
        <v>45925.0</v>
      </c>
      <c r="B20" s="64"/>
      <c r="C20" s="59" t="s">
        <v>88</v>
      </c>
      <c r="D20" s="59" t="s">
        <v>88</v>
      </c>
      <c r="E20" s="59" t="s">
        <v>88</v>
      </c>
      <c r="F20" s="59" t="s">
        <v>91</v>
      </c>
      <c r="G20" s="59" t="s">
        <v>88</v>
      </c>
      <c r="H20" s="59" t="s">
        <v>88</v>
      </c>
      <c r="I20" s="59" t="s">
        <v>88</v>
      </c>
      <c r="J20" s="59" t="s">
        <v>88</v>
      </c>
      <c r="K20" s="59" t="s">
        <v>88</v>
      </c>
      <c r="L20" s="59" t="s">
        <v>90</v>
      </c>
      <c r="M20" s="59" t="s">
        <v>88</v>
      </c>
      <c r="N20" s="59" t="s">
        <v>88</v>
      </c>
      <c r="O20" s="59" t="s">
        <v>88</v>
      </c>
      <c r="P20" s="60">
        <f t="shared" si="2"/>
        <v>11</v>
      </c>
      <c r="Q20" s="61">
        <v>13.0</v>
      </c>
      <c r="R20" s="62">
        <f t="shared" si="3"/>
        <v>0.8461538462</v>
      </c>
      <c r="S20" s="63"/>
      <c r="X20" s="54"/>
    </row>
    <row r="21">
      <c r="A21" s="57">
        <v>45926.0</v>
      </c>
      <c r="B21" s="64"/>
      <c r="C21" s="59" t="s">
        <v>88</v>
      </c>
      <c r="D21" s="66" t="s">
        <v>91</v>
      </c>
      <c r="E21" s="66" t="s">
        <v>88</v>
      </c>
      <c r="F21" s="66" t="s">
        <v>88</v>
      </c>
      <c r="G21" s="66" t="s">
        <v>88</v>
      </c>
      <c r="H21" s="66" t="s">
        <v>88</v>
      </c>
      <c r="I21" s="66" t="s">
        <v>88</v>
      </c>
      <c r="J21" s="66" t="s">
        <v>88</v>
      </c>
      <c r="K21" s="66" t="s">
        <v>88</v>
      </c>
      <c r="L21" s="66" t="s">
        <v>88</v>
      </c>
      <c r="M21" s="66" t="s">
        <v>91</v>
      </c>
      <c r="N21" s="66" t="s">
        <v>88</v>
      </c>
      <c r="O21" s="66" t="s">
        <v>88</v>
      </c>
      <c r="P21" s="60">
        <f t="shared" si="2"/>
        <v>11</v>
      </c>
      <c r="Q21" s="61">
        <v>13.0</v>
      </c>
      <c r="R21" s="62">
        <f t="shared" si="3"/>
        <v>0.8461538462</v>
      </c>
      <c r="S21" s="63"/>
      <c r="X21" s="54"/>
    </row>
    <row r="22">
      <c r="A22" s="57">
        <v>45929.0</v>
      </c>
      <c r="B22" s="64"/>
      <c r="C22" s="59" t="s">
        <v>91</v>
      </c>
      <c r="D22" s="59" t="s">
        <v>88</v>
      </c>
      <c r="E22" s="59" t="s">
        <v>90</v>
      </c>
      <c r="F22" s="66" t="s">
        <v>88</v>
      </c>
      <c r="G22" s="66" t="s">
        <v>88</v>
      </c>
      <c r="H22" s="66" t="s">
        <v>88</v>
      </c>
      <c r="I22" s="66" t="s">
        <v>88</v>
      </c>
      <c r="J22" s="66" t="s">
        <v>88</v>
      </c>
      <c r="K22" s="66" t="s">
        <v>88</v>
      </c>
      <c r="L22" s="66" t="s">
        <v>88</v>
      </c>
      <c r="M22" s="66" t="s">
        <v>88</v>
      </c>
      <c r="N22" s="66" t="s">
        <v>88</v>
      </c>
      <c r="O22" s="66" t="s">
        <v>88</v>
      </c>
      <c r="P22" s="60">
        <f t="shared" si="2"/>
        <v>11</v>
      </c>
      <c r="Q22" s="61">
        <v>13.0</v>
      </c>
      <c r="R22" s="62">
        <f t="shared" si="3"/>
        <v>0.8461538462</v>
      </c>
      <c r="S22" s="63"/>
      <c r="X22" s="54"/>
    </row>
    <row r="23">
      <c r="A23" s="57">
        <v>45930.0</v>
      </c>
      <c r="B23" s="64"/>
      <c r="C23" s="59" t="s">
        <v>88</v>
      </c>
      <c r="D23" s="59" t="s">
        <v>88</v>
      </c>
      <c r="E23" s="59" t="s">
        <v>88</v>
      </c>
      <c r="F23" s="59" t="s">
        <v>88</v>
      </c>
      <c r="G23" s="59" t="s">
        <v>88</v>
      </c>
      <c r="H23" s="59" t="s">
        <v>88</v>
      </c>
      <c r="I23" s="59" t="s">
        <v>88</v>
      </c>
      <c r="J23" s="59" t="s">
        <v>88</v>
      </c>
      <c r="K23" s="59" t="s">
        <v>88</v>
      </c>
      <c r="L23" s="59" t="s">
        <v>90</v>
      </c>
      <c r="M23" s="59" t="s">
        <v>93</v>
      </c>
      <c r="N23" s="59" t="s">
        <v>91</v>
      </c>
      <c r="O23" s="59" t="s">
        <v>88</v>
      </c>
      <c r="P23" s="60">
        <f t="shared" si="2"/>
        <v>10</v>
      </c>
      <c r="Q23" s="61">
        <v>13.0</v>
      </c>
      <c r="R23" s="62">
        <f t="shared" si="3"/>
        <v>0.7692307692</v>
      </c>
      <c r="S23" s="63"/>
      <c r="X23" s="54"/>
    </row>
    <row r="24">
      <c r="A24" s="57">
        <v>45931.0</v>
      </c>
      <c r="B24" s="64"/>
      <c r="C24" s="59" t="s">
        <v>91</v>
      </c>
      <c r="D24" s="59" t="s">
        <v>91</v>
      </c>
      <c r="E24" s="59" t="s">
        <v>88</v>
      </c>
      <c r="F24" s="59" t="s">
        <v>88</v>
      </c>
      <c r="G24" s="59" t="s">
        <v>88</v>
      </c>
      <c r="H24" s="59" t="s">
        <v>88</v>
      </c>
      <c r="I24" s="59" t="s">
        <v>88</v>
      </c>
      <c r="J24" s="59" t="s">
        <v>88</v>
      </c>
      <c r="K24" s="59" t="s">
        <v>88</v>
      </c>
      <c r="L24" s="59" t="s">
        <v>88</v>
      </c>
      <c r="M24" s="59" t="s">
        <v>88</v>
      </c>
      <c r="N24" s="59" t="s">
        <v>88</v>
      </c>
      <c r="O24" s="59" t="s">
        <v>90</v>
      </c>
      <c r="P24" s="60">
        <f t="shared" si="2"/>
        <v>10</v>
      </c>
      <c r="Q24" s="61">
        <v>13.0</v>
      </c>
      <c r="R24" s="62">
        <f t="shared" si="3"/>
        <v>0.7692307692</v>
      </c>
      <c r="S24" s="63"/>
      <c r="X24" s="54"/>
    </row>
    <row r="25">
      <c r="A25" s="57">
        <v>45932.0</v>
      </c>
      <c r="B25" s="64"/>
      <c r="C25" s="59" t="s">
        <v>88</v>
      </c>
      <c r="D25" s="59" t="s">
        <v>88</v>
      </c>
      <c r="E25" s="59" t="s">
        <v>88</v>
      </c>
      <c r="F25" s="59" t="s">
        <v>88</v>
      </c>
      <c r="G25" s="59" t="s">
        <v>88</v>
      </c>
      <c r="H25" s="59" t="s">
        <v>88</v>
      </c>
      <c r="I25" s="59" t="s">
        <v>88</v>
      </c>
      <c r="J25" s="59" t="s">
        <v>88</v>
      </c>
      <c r="K25" s="59" t="s">
        <v>91</v>
      </c>
      <c r="L25" s="59" t="s">
        <v>91</v>
      </c>
      <c r="M25" s="59" t="s">
        <v>91</v>
      </c>
      <c r="N25" s="59" t="s">
        <v>88</v>
      </c>
      <c r="O25" s="59" t="s">
        <v>88</v>
      </c>
      <c r="P25" s="60">
        <f t="shared" si="2"/>
        <v>10</v>
      </c>
      <c r="Q25" s="61">
        <v>13.0</v>
      </c>
      <c r="R25" s="62">
        <f t="shared" si="3"/>
        <v>0.7692307692</v>
      </c>
      <c r="S25" s="63"/>
      <c r="X25" s="54"/>
    </row>
    <row r="26">
      <c r="A26" s="57">
        <v>45933.0</v>
      </c>
      <c r="B26" s="64"/>
      <c r="C26" s="59" t="s">
        <v>88</v>
      </c>
      <c r="D26" s="59" t="s">
        <v>88</v>
      </c>
      <c r="E26" s="59" t="s">
        <v>88</v>
      </c>
      <c r="F26" s="59" t="s">
        <v>88</v>
      </c>
      <c r="G26" s="59" t="s">
        <v>88</v>
      </c>
      <c r="H26" s="59" t="s">
        <v>88</v>
      </c>
      <c r="I26" s="59" t="s">
        <v>88</v>
      </c>
      <c r="J26" s="59" t="s">
        <v>88</v>
      </c>
      <c r="K26" s="59" t="s">
        <v>88</v>
      </c>
      <c r="L26" s="59" t="s">
        <v>88</v>
      </c>
      <c r="M26" s="59" t="s">
        <v>88</v>
      </c>
      <c r="N26" s="59" t="s">
        <v>88</v>
      </c>
      <c r="O26" s="59" t="s">
        <v>88</v>
      </c>
      <c r="P26" s="60">
        <f t="shared" si="2"/>
        <v>13</v>
      </c>
      <c r="Q26" s="61">
        <v>13.0</v>
      </c>
      <c r="R26" s="62">
        <f t="shared" si="3"/>
        <v>1</v>
      </c>
      <c r="S26" s="63"/>
      <c r="X26" s="54"/>
    </row>
    <row r="27">
      <c r="A27" s="57">
        <v>45937.0</v>
      </c>
      <c r="B27" s="64"/>
      <c r="C27" s="59" t="s">
        <v>88</v>
      </c>
      <c r="D27" s="59" t="s">
        <v>88</v>
      </c>
      <c r="E27" s="59" t="s">
        <v>88</v>
      </c>
      <c r="F27" s="59" t="s">
        <v>88</v>
      </c>
      <c r="G27" s="59" t="s">
        <v>88</v>
      </c>
      <c r="H27" s="59" t="s">
        <v>88</v>
      </c>
      <c r="I27" s="59" t="s">
        <v>88</v>
      </c>
      <c r="J27" s="59" t="s">
        <v>88</v>
      </c>
      <c r="K27" s="59"/>
      <c r="L27" s="59"/>
      <c r="M27" s="59"/>
      <c r="N27" s="59"/>
      <c r="O27" s="59"/>
      <c r="P27" s="60">
        <f t="shared" si="2"/>
        <v>8</v>
      </c>
      <c r="Q27" s="61">
        <v>8.0</v>
      </c>
      <c r="R27" s="62">
        <f t="shared" si="3"/>
        <v>1</v>
      </c>
      <c r="S27" s="63"/>
      <c r="T27" s="67" t="s">
        <v>24</v>
      </c>
      <c r="X27" s="54"/>
    </row>
    <row r="28">
      <c r="A28" s="57">
        <v>45938.0</v>
      </c>
      <c r="B28" s="64"/>
      <c r="C28" s="59" t="s">
        <v>88</v>
      </c>
      <c r="D28" s="59" t="s">
        <v>88</v>
      </c>
      <c r="E28" s="59" t="s">
        <v>88</v>
      </c>
      <c r="F28" s="59" t="s">
        <v>88</v>
      </c>
      <c r="G28" s="59" t="s">
        <v>88</v>
      </c>
      <c r="H28" s="59" t="s">
        <v>88</v>
      </c>
      <c r="I28" s="59" t="s">
        <v>88</v>
      </c>
      <c r="J28" s="59" t="s">
        <v>88</v>
      </c>
      <c r="K28" s="59" t="s">
        <v>88</v>
      </c>
      <c r="L28" s="59" t="s">
        <v>88</v>
      </c>
      <c r="M28" s="59" t="s">
        <v>88</v>
      </c>
      <c r="N28" s="59" t="s">
        <v>88</v>
      </c>
      <c r="O28" s="59" t="s">
        <v>90</v>
      </c>
      <c r="P28" s="60">
        <f t="shared" si="2"/>
        <v>12</v>
      </c>
      <c r="Q28" s="61">
        <v>13.0</v>
      </c>
      <c r="R28" s="62">
        <f t="shared" si="3"/>
        <v>0.9230769231</v>
      </c>
      <c r="S28" s="63"/>
      <c r="X28" s="54"/>
    </row>
    <row r="29">
      <c r="A29" s="57">
        <v>45939.0</v>
      </c>
      <c r="B29" s="64"/>
      <c r="C29" s="59" t="s">
        <v>88</v>
      </c>
      <c r="D29" s="59" t="s">
        <v>88</v>
      </c>
      <c r="E29" s="59" t="s">
        <v>88</v>
      </c>
      <c r="F29" s="59" t="s">
        <v>88</v>
      </c>
      <c r="G29" s="59" t="s">
        <v>88</v>
      </c>
      <c r="H29" s="59" t="s">
        <v>88</v>
      </c>
      <c r="I29" s="59" t="s">
        <v>88</v>
      </c>
      <c r="J29" s="59" t="s">
        <v>88</v>
      </c>
      <c r="K29" s="59" t="s">
        <v>88</v>
      </c>
      <c r="L29" s="59" t="s">
        <v>88</v>
      </c>
      <c r="M29" s="59" t="s">
        <v>88</v>
      </c>
      <c r="N29" s="59" t="s">
        <v>90</v>
      </c>
      <c r="O29" s="59" t="s">
        <v>88</v>
      </c>
      <c r="P29" s="60">
        <f t="shared" si="2"/>
        <v>12</v>
      </c>
      <c r="Q29" s="61">
        <v>13.0</v>
      </c>
      <c r="R29" s="62">
        <f t="shared" si="3"/>
        <v>0.9230769231</v>
      </c>
      <c r="S29" s="63"/>
      <c r="X29" s="54"/>
    </row>
    <row r="30">
      <c r="A30" s="57">
        <v>45940.0</v>
      </c>
      <c r="B30" s="64"/>
      <c r="C30" s="59" t="s">
        <v>88</v>
      </c>
      <c r="D30" s="59" t="s">
        <v>88</v>
      </c>
      <c r="E30" s="59" t="s">
        <v>91</v>
      </c>
      <c r="F30" s="59" t="s">
        <v>88</v>
      </c>
      <c r="G30" s="59" t="s">
        <v>91</v>
      </c>
      <c r="H30" s="59" t="s">
        <v>88</v>
      </c>
      <c r="I30" s="59" t="s">
        <v>88</v>
      </c>
      <c r="J30" s="59" t="s">
        <v>88</v>
      </c>
      <c r="K30" s="59" t="s">
        <v>88</v>
      </c>
      <c r="L30" s="59" t="s">
        <v>88</v>
      </c>
      <c r="M30" s="59" t="s">
        <v>88</v>
      </c>
      <c r="N30" s="59" t="s">
        <v>88</v>
      </c>
      <c r="O30" s="59" t="s">
        <v>88</v>
      </c>
      <c r="P30" s="60">
        <f t="shared" si="2"/>
        <v>11</v>
      </c>
      <c r="Q30" s="61">
        <v>13.0</v>
      </c>
      <c r="R30" s="62">
        <f t="shared" si="3"/>
        <v>0.8461538462</v>
      </c>
      <c r="S30" s="63"/>
      <c r="X30" s="54"/>
    </row>
    <row r="31">
      <c r="A31" s="57">
        <v>45943.0</v>
      </c>
      <c r="B31" s="64"/>
      <c r="C31" s="59" t="s">
        <v>91</v>
      </c>
      <c r="D31" s="59" t="s">
        <v>91</v>
      </c>
      <c r="E31" s="59" t="s">
        <v>91</v>
      </c>
      <c r="F31" s="59" t="s">
        <v>88</v>
      </c>
      <c r="G31" s="59" t="s">
        <v>91</v>
      </c>
      <c r="H31" s="59" t="s">
        <v>91</v>
      </c>
      <c r="I31" s="59" t="s">
        <v>88</v>
      </c>
      <c r="J31" s="59" t="s">
        <v>88</v>
      </c>
      <c r="K31" s="59" t="s">
        <v>88</v>
      </c>
      <c r="L31" s="59" t="s">
        <v>88</v>
      </c>
      <c r="M31" s="59" t="s">
        <v>88</v>
      </c>
      <c r="N31" s="59" t="s">
        <v>88</v>
      </c>
      <c r="O31" s="59" t="s">
        <v>88</v>
      </c>
      <c r="P31" s="60">
        <f t="shared" si="2"/>
        <v>8</v>
      </c>
      <c r="Q31" s="61">
        <v>13.0</v>
      </c>
      <c r="R31" s="62">
        <f t="shared" si="3"/>
        <v>0.6153846154</v>
      </c>
      <c r="S31" s="63"/>
      <c r="X31" s="54"/>
    </row>
    <row r="32">
      <c r="A32" s="57">
        <v>45944.0</v>
      </c>
      <c r="B32" s="64"/>
      <c r="C32" s="59" t="s">
        <v>88</v>
      </c>
      <c r="D32" s="59" t="s">
        <v>88</v>
      </c>
      <c r="E32" s="59" t="s">
        <v>88</v>
      </c>
      <c r="F32" s="59" t="s">
        <v>88</v>
      </c>
      <c r="G32" s="59" t="s">
        <v>88</v>
      </c>
      <c r="H32" s="59" t="s">
        <v>88</v>
      </c>
      <c r="I32" s="59" t="s">
        <v>88</v>
      </c>
      <c r="J32" s="59" t="s">
        <v>88</v>
      </c>
      <c r="K32" s="59" t="s">
        <v>88</v>
      </c>
      <c r="L32" s="59" t="s">
        <v>88</v>
      </c>
      <c r="M32" s="59" t="s">
        <v>88</v>
      </c>
      <c r="N32" s="59" t="s">
        <v>88</v>
      </c>
      <c r="O32" s="59" t="s">
        <v>88</v>
      </c>
      <c r="P32" s="60">
        <f t="shared" si="2"/>
        <v>13</v>
      </c>
      <c r="Q32" s="61">
        <v>13.0</v>
      </c>
      <c r="R32" s="62">
        <f t="shared" si="3"/>
        <v>1</v>
      </c>
      <c r="S32" s="63"/>
      <c r="X32" s="54"/>
    </row>
    <row r="33">
      <c r="A33" s="57">
        <v>45945.0</v>
      </c>
      <c r="B33" s="64"/>
      <c r="C33" s="59" t="s">
        <v>88</v>
      </c>
      <c r="D33" s="59" t="s">
        <v>88</v>
      </c>
      <c r="E33" s="59" t="s">
        <v>91</v>
      </c>
      <c r="F33" s="59" t="s">
        <v>88</v>
      </c>
      <c r="G33" s="59" t="s">
        <v>88</v>
      </c>
      <c r="H33" s="59" t="s">
        <v>88</v>
      </c>
      <c r="I33" s="59" t="s">
        <v>88</v>
      </c>
      <c r="J33" s="59" t="s">
        <v>88</v>
      </c>
      <c r="K33" s="59" t="s">
        <v>88</v>
      </c>
      <c r="L33" s="59" t="s">
        <v>88</v>
      </c>
      <c r="M33" s="59" t="s">
        <v>88</v>
      </c>
      <c r="N33" s="59" t="s">
        <v>88</v>
      </c>
      <c r="O33" s="59" t="s">
        <v>88</v>
      </c>
      <c r="P33" s="60">
        <f t="shared" si="2"/>
        <v>12</v>
      </c>
      <c r="Q33" s="61">
        <v>13.0</v>
      </c>
      <c r="R33" s="62">
        <f t="shared" si="3"/>
        <v>0.9230769231</v>
      </c>
      <c r="S33" s="63"/>
      <c r="X33" s="54"/>
    </row>
    <row r="34">
      <c r="A34" s="57">
        <v>45951.0</v>
      </c>
      <c r="B34" s="64"/>
      <c r="C34" s="59" t="s">
        <v>88</v>
      </c>
      <c r="D34" s="59" t="s">
        <v>88</v>
      </c>
      <c r="E34" s="59" t="s">
        <v>88</v>
      </c>
      <c r="F34" s="59" t="s">
        <v>88</v>
      </c>
      <c r="G34" s="59" t="s">
        <v>90</v>
      </c>
      <c r="H34" s="59" t="s">
        <v>88</v>
      </c>
      <c r="I34" s="59" t="s">
        <v>88</v>
      </c>
      <c r="J34" s="59" t="s">
        <v>88</v>
      </c>
      <c r="K34" s="59" t="s">
        <v>88</v>
      </c>
      <c r="L34" s="59" t="s">
        <v>88</v>
      </c>
      <c r="M34" s="59" t="s">
        <v>88</v>
      </c>
      <c r="N34" s="59" t="s">
        <v>91</v>
      </c>
      <c r="O34" s="59" t="s">
        <v>88</v>
      </c>
      <c r="P34" s="60">
        <f t="shared" si="2"/>
        <v>11</v>
      </c>
      <c r="Q34" s="61">
        <v>13.0</v>
      </c>
      <c r="R34" s="62">
        <f t="shared" si="3"/>
        <v>0.8461538462</v>
      </c>
      <c r="S34" s="63"/>
      <c r="X34" s="54"/>
    </row>
    <row r="35">
      <c r="A35" s="57">
        <v>45952.0</v>
      </c>
      <c r="B35" s="64"/>
      <c r="C35" s="59" t="s">
        <v>88</v>
      </c>
      <c r="D35" s="59" t="s">
        <v>90</v>
      </c>
      <c r="E35" s="59" t="s">
        <v>88</v>
      </c>
      <c r="F35" s="59" t="s">
        <v>88</v>
      </c>
      <c r="G35" s="59" t="s">
        <v>88</v>
      </c>
      <c r="H35" s="59" t="s">
        <v>88</v>
      </c>
      <c r="I35" s="59" t="s">
        <v>88</v>
      </c>
      <c r="J35" s="59" t="s">
        <v>91</v>
      </c>
      <c r="K35" s="59" t="s">
        <v>88</v>
      </c>
      <c r="L35" s="59" t="s">
        <v>88</v>
      </c>
      <c r="M35" s="59" t="s">
        <v>88</v>
      </c>
      <c r="N35" s="59" t="s">
        <v>88</v>
      </c>
      <c r="O35" s="59" t="s">
        <v>88</v>
      </c>
      <c r="P35" s="60">
        <f t="shared" si="2"/>
        <v>11</v>
      </c>
      <c r="Q35" s="61">
        <v>13.0</v>
      </c>
      <c r="R35" s="62">
        <f t="shared" si="3"/>
        <v>0.8461538462</v>
      </c>
      <c r="S35" s="63"/>
      <c r="X35" s="54"/>
    </row>
    <row r="36">
      <c r="A36" s="57">
        <v>45953.0</v>
      </c>
      <c r="B36" s="64"/>
      <c r="C36" s="59" t="s">
        <v>88</v>
      </c>
      <c r="D36" s="59" t="s">
        <v>88</v>
      </c>
      <c r="E36" s="59" t="s">
        <v>90</v>
      </c>
      <c r="F36" s="59" t="s">
        <v>88</v>
      </c>
      <c r="G36" s="59" t="s">
        <v>88</v>
      </c>
      <c r="H36" s="59" t="s">
        <v>88</v>
      </c>
      <c r="I36" s="59" t="s">
        <v>88</v>
      </c>
      <c r="J36" s="59" t="s">
        <v>88</v>
      </c>
      <c r="K36" s="59" t="s">
        <v>88</v>
      </c>
      <c r="L36" s="59" t="s">
        <v>88</v>
      </c>
      <c r="M36" s="59" t="s">
        <v>90</v>
      </c>
      <c r="N36" s="59" t="s">
        <v>91</v>
      </c>
      <c r="O36" s="59" t="s">
        <v>88</v>
      </c>
      <c r="P36" s="60">
        <f t="shared" si="2"/>
        <v>10</v>
      </c>
      <c r="Q36" s="61">
        <v>13.0</v>
      </c>
      <c r="R36" s="62">
        <f t="shared" si="3"/>
        <v>0.7692307692</v>
      </c>
      <c r="S36" s="63"/>
      <c r="X36" s="54"/>
    </row>
    <row r="37">
      <c r="A37" s="57">
        <v>45954.0</v>
      </c>
      <c r="B37" s="64"/>
      <c r="C37" s="59" t="s">
        <v>88</v>
      </c>
      <c r="D37" s="59" t="s">
        <v>88</v>
      </c>
      <c r="E37" s="59" t="s">
        <v>91</v>
      </c>
      <c r="F37" s="59" t="s">
        <v>88</v>
      </c>
      <c r="G37" s="59" t="s">
        <v>88</v>
      </c>
      <c r="H37" s="59" t="s">
        <v>88</v>
      </c>
      <c r="I37" s="59" t="s">
        <v>88</v>
      </c>
      <c r="J37" s="59" t="s">
        <v>88</v>
      </c>
      <c r="K37" s="59" t="s">
        <v>88</v>
      </c>
      <c r="L37" s="59" t="s">
        <v>88</v>
      </c>
      <c r="M37" s="59" t="s">
        <v>88</v>
      </c>
      <c r="N37" s="59" t="s">
        <v>88</v>
      </c>
      <c r="O37" s="59" t="s">
        <v>88</v>
      </c>
      <c r="P37" s="60">
        <f t="shared" si="2"/>
        <v>12</v>
      </c>
      <c r="Q37" s="61">
        <v>13.0</v>
      </c>
      <c r="R37" s="62">
        <f t="shared" si="3"/>
        <v>0.9230769231</v>
      </c>
      <c r="S37" s="63"/>
      <c r="X37" s="54"/>
    </row>
    <row r="38">
      <c r="A38" s="57">
        <v>45957.0</v>
      </c>
      <c r="B38" s="64"/>
      <c r="C38" s="59" t="s">
        <v>88</v>
      </c>
      <c r="D38" s="59" t="s">
        <v>88</v>
      </c>
      <c r="E38" s="59" t="s">
        <v>88</v>
      </c>
      <c r="F38" s="59" t="s">
        <v>88</v>
      </c>
      <c r="G38" s="59" t="s">
        <v>88</v>
      </c>
      <c r="H38" s="59" t="s">
        <v>88</v>
      </c>
      <c r="I38" s="59" t="s">
        <v>88</v>
      </c>
      <c r="J38" s="59" t="s">
        <v>88</v>
      </c>
      <c r="K38" s="59" t="s">
        <v>88</v>
      </c>
      <c r="L38" s="59" t="s">
        <v>90</v>
      </c>
      <c r="M38" s="59" t="s">
        <v>90</v>
      </c>
      <c r="N38" s="59" t="s">
        <v>90</v>
      </c>
      <c r="O38" s="59" t="s">
        <v>90</v>
      </c>
      <c r="P38" s="60">
        <f t="shared" si="2"/>
        <v>9</v>
      </c>
      <c r="Q38" s="61">
        <v>13.0</v>
      </c>
      <c r="R38" s="62">
        <f t="shared" si="3"/>
        <v>0.6923076923</v>
      </c>
      <c r="S38" s="63"/>
      <c r="X38" s="54"/>
    </row>
    <row r="39">
      <c r="A39" s="57">
        <v>45958.0</v>
      </c>
      <c r="B39" s="64"/>
      <c r="C39" s="59" t="s">
        <v>88</v>
      </c>
      <c r="D39" s="59" t="s">
        <v>88</v>
      </c>
      <c r="E39" s="59" t="s">
        <v>88</v>
      </c>
      <c r="F39" s="59" t="s">
        <v>88</v>
      </c>
      <c r="G39" s="59" t="s">
        <v>88</v>
      </c>
      <c r="H39" s="59" t="s">
        <v>88</v>
      </c>
      <c r="I39" s="59" t="s">
        <v>91</v>
      </c>
      <c r="J39" s="59" t="s">
        <v>88</v>
      </c>
      <c r="K39" s="59" t="s">
        <v>88</v>
      </c>
      <c r="L39" s="59" t="s">
        <v>88</v>
      </c>
      <c r="M39" s="59" t="s">
        <v>91</v>
      </c>
      <c r="N39" s="59" t="s">
        <v>88</v>
      </c>
      <c r="O39" s="59" t="s">
        <v>91</v>
      </c>
      <c r="P39" s="60">
        <f t="shared" si="2"/>
        <v>10</v>
      </c>
      <c r="Q39" s="61">
        <v>13.0</v>
      </c>
      <c r="R39" s="62">
        <f t="shared" si="3"/>
        <v>0.7692307692</v>
      </c>
      <c r="S39" s="63"/>
      <c r="X39" s="54"/>
    </row>
    <row r="40">
      <c r="A40" s="57">
        <v>45959.0</v>
      </c>
      <c r="B40" s="64"/>
      <c r="C40" s="59" t="s">
        <v>88</v>
      </c>
      <c r="D40" s="59" t="s">
        <v>88</v>
      </c>
      <c r="E40" s="59" t="s">
        <v>88</v>
      </c>
      <c r="F40" s="59" t="s">
        <v>88</v>
      </c>
      <c r="G40" s="59" t="s">
        <v>88</v>
      </c>
      <c r="H40" s="59" t="s">
        <v>88</v>
      </c>
      <c r="I40" s="59" t="s">
        <v>88</v>
      </c>
      <c r="J40" s="59" t="s">
        <v>91</v>
      </c>
      <c r="K40" s="59" t="s">
        <v>88</v>
      </c>
      <c r="L40" s="59" t="s">
        <v>88</v>
      </c>
      <c r="M40" s="59" t="s">
        <v>88</v>
      </c>
      <c r="N40" s="59" t="s">
        <v>88</v>
      </c>
      <c r="O40" s="59" t="s">
        <v>88</v>
      </c>
      <c r="P40" s="60">
        <f t="shared" si="2"/>
        <v>12</v>
      </c>
      <c r="Q40" s="61">
        <v>13.0</v>
      </c>
      <c r="R40" s="62">
        <f t="shared" si="3"/>
        <v>0.9230769231</v>
      </c>
      <c r="S40" s="63"/>
      <c r="X40" s="54"/>
    </row>
    <row r="41">
      <c r="A41" s="57">
        <v>45960.0</v>
      </c>
      <c r="B41" s="64"/>
      <c r="C41" s="59" t="s">
        <v>88</v>
      </c>
      <c r="D41" s="59" t="s">
        <v>88</v>
      </c>
      <c r="E41" s="59" t="s">
        <v>88</v>
      </c>
      <c r="F41" s="59" t="s">
        <v>91</v>
      </c>
      <c r="G41" s="59" t="s">
        <v>88</v>
      </c>
      <c r="H41" s="59" t="s">
        <v>88</v>
      </c>
      <c r="I41" s="59" t="s">
        <v>88</v>
      </c>
      <c r="J41" s="59" t="s">
        <v>88</v>
      </c>
      <c r="K41" s="59" t="s">
        <v>88</v>
      </c>
      <c r="L41" s="59" t="s">
        <v>88</v>
      </c>
      <c r="M41" s="59" t="s">
        <v>91</v>
      </c>
      <c r="N41" s="59" t="s">
        <v>88</v>
      </c>
      <c r="O41" s="59" t="s">
        <v>88</v>
      </c>
      <c r="P41" s="60">
        <f t="shared" si="2"/>
        <v>11</v>
      </c>
      <c r="Q41" s="61">
        <v>13.0</v>
      </c>
      <c r="R41" s="62">
        <f t="shared" si="3"/>
        <v>0.8461538462</v>
      </c>
      <c r="S41" s="63"/>
      <c r="X41" s="54"/>
    </row>
    <row r="42">
      <c r="A42" s="57">
        <v>45961.0</v>
      </c>
      <c r="B42" s="64"/>
      <c r="C42" s="59" t="s">
        <v>88</v>
      </c>
      <c r="D42" s="59" t="s">
        <v>88</v>
      </c>
      <c r="E42" s="59" t="s">
        <v>88</v>
      </c>
      <c r="F42" s="59" t="s">
        <v>88</v>
      </c>
      <c r="G42" s="59" t="s">
        <v>91</v>
      </c>
      <c r="H42" s="59" t="s">
        <v>88</v>
      </c>
      <c r="I42" s="59" t="s">
        <v>88</v>
      </c>
      <c r="J42" s="59" t="s">
        <v>88</v>
      </c>
      <c r="K42" s="59" t="s">
        <v>88</v>
      </c>
      <c r="L42" s="59" t="s">
        <v>88</v>
      </c>
      <c r="M42" s="59" t="s">
        <v>88</v>
      </c>
      <c r="N42" s="59" t="s">
        <v>88</v>
      </c>
      <c r="O42" s="59" t="s">
        <v>88</v>
      </c>
      <c r="P42" s="60">
        <f t="shared" si="2"/>
        <v>12</v>
      </c>
      <c r="Q42" s="61">
        <v>13.0</v>
      </c>
      <c r="R42" s="62">
        <f t="shared" si="3"/>
        <v>0.9230769231</v>
      </c>
      <c r="S42" s="63"/>
      <c r="X42" s="54"/>
    </row>
    <row r="43">
      <c r="A43" s="57">
        <v>45964.0</v>
      </c>
      <c r="B43" s="64"/>
      <c r="C43" s="59" t="s">
        <v>88</v>
      </c>
      <c r="D43" s="59" t="s">
        <v>88</v>
      </c>
      <c r="E43" s="59" t="s">
        <v>88</v>
      </c>
      <c r="F43" s="59" t="s">
        <v>88</v>
      </c>
      <c r="G43" s="59" t="s">
        <v>88</v>
      </c>
      <c r="H43" s="59" t="s">
        <v>88</v>
      </c>
      <c r="I43" s="59" t="s">
        <v>88</v>
      </c>
      <c r="J43" s="59" t="s">
        <v>90</v>
      </c>
      <c r="K43" s="59" t="s">
        <v>88</v>
      </c>
      <c r="L43" s="59" t="s">
        <v>88</v>
      </c>
      <c r="M43" s="59" t="s">
        <v>88</v>
      </c>
      <c r="N43" s="59" t="s">
        <v>91</v>
      </c>
      <c r="O43" s="59" t="s">
        <v>90</v>
      </c>
      <c r="P43" s="60">
        <f t="shared" si="2"/>
        <v>10</v>
      </c>
      <c r="Q43" s="61">
        <v>13.0</v>
      </c>
      <c r="R43" s="62">
        <f t="shared" si="3"/>
        <v>0.7692307692</v>
      </c>
      <c r="S43" s="63"/>
      <c r="X43" s="54"/>
    </row>
    <row r="44">
      <c r="A44" s="57">
        <v>45965.0</v>
      </c>
      <c r="B44" s="64"/>
      <c r="C44" s="59" t="s">
        <v>88</v>
      </c>
      <c r="D44" s="59" t="s">
        <v>88</v>
      </c>
      <c r="E44" s="59" t="s">
        <v>88</v>
      </c>
      <c r="F44" s="59" t="s">
        <v>88</v>
      </c>
      <c r="G44" s="59" t="s">
        <v>91</v>
      </c>
      <c r="H44" s="59" t="s">
        <v>91</v>
      </c>
      <c r="I44" s="59" t="s">
        <v>88</v>
      </c>
      <c r="J44" s="59" t="s">
        <v>88</v>
      </c>
      <c r="K44" s="59" t="s">
        <v>88</v>
      </c>
      <c r="L44" s="59" t="s">
        <v>88</v>
      </c>
      <c r="M44" s="59" t="s">
        <v>88</v>
      </c>
      <c r="N44" s="59" t="s">
        <v>88</v>
      </c>
      <c r="O44" s="59" t="s">
        <v>88</v>
      </c>
      <c r="P44" s="60">
        <f t="shared" si="2"/>
        <v>11</v>
      </c>
      <c r="Q44" s="61">
        <v>13.0</v>
      </c>
      <c r="R44" s="62">
        <f t="shared" si="3"/>
        <v>0.8461538462</v>
      </c>
      <c r="S44" s="63"/>
      <c r="X44" s="54"/>
    </row>
    <row r="45">
      <c r="A45" s="57">
        <v>45966.0</v>
      </c>
      <c r="B45" s="64"/>
      <c r="C45" s="59" t="s">
        <v>88</v>
      </c>
      <c r="D45" s="59" t="s">
        <v>91</v>
      </c>
      <c r="E45" s="59" t="s">
        <v>91</v>
      </c>
      <c r="F45" s="59" t="s">
        <v>90</v>
      </c>
      <c r="G45" s="59" t="s">
        <v>91</v>
      </c>
      <c r="H45" s="59" t="s">
        <v>88</v>
      </c>
      <c r="I45" s="59" t="s">
        <v>88</v>
      </c>
      <c r="J45" s="59" t="s">
        <v>88</v>
      </c>
      <c r="K45" s="59" t="s">
        <v>88</v>
      </c>
      <c r="L45" s="59" t="s">
        <v>88</v>
      </c>
      <c r="M45" s="59" t="s">
        <v>88</v>
      </c>
      <c r="N45" s="59" t="s">
        <v>88</v>
      </c>
      <c r="O45" s="59" t="s">
        <v>88</v>
      </c>
      <c r="P45" s="60">
        <f t="shared" si="2"/>
        <v>9</v>
      </c>
      <c r="Q45" s="61">
        <v>13.0</v>
      </c>
      <c r="R45" s="62">
        <f t="shared" si="3"/>
        <v>0.6923076923</v>
      </c>
      <c r="S45" s="63"/>
      <c r="X45" s="54"/>
    </row>
    <row r="46">
      <c r="A46" s="57">
        <v>45967.0</v>
      </c>
      <c r="B46" s="64"/>
      <c r="C46" s="59" t="s">
        <v>88</v>
      </c>
      <c r="D46" s="59" t="s">
        <v>88</v>
      </c>
      <c r="E46" s="59" t="s">
        <v>91</v>
      </c>
      <c r="F46" s="59" t="s">
        <v>91</v>
      </c>
      <c r="G46" s="59" t="s">
        <v>88</v>
      </c>
      <c r="H46" s="59" t="s">
        <v>88</v>
      </c>
      <c r="I46" s="59" t="s">
        <v>88</v>
      </c>
      <c r="J46" s="59" t="s">
        <v>88</v>
      </c>
      <c r="K46" s="59" t="s">
        <v>88</v>
      </c>
      <c r="L46" s="59" t="s">
        <v>88</v>
      </c>
      <c r="M46" s="59" t="s">
        <v>88</v>
      </c>
      <c r="N46" s="59" t="s">
        <v>88</v>
      </c>
      <c r="O46" s="59" t="s">
        <v>88</v>
      </c>
      <c r="P46" s="60">
        <f t="shared" si="2"/>
        <v>11</v>
      </c>
      <c r="Q46" s="61">
        <v>13.0</v>
      </c>
      <c r="R46" s="62">
        <f t="shared" si="3"/>
        <v>0.8461538462</v>
      </c>
      <c r="S46" s="63"/>
      <c r="X46" s="54"/>
    </row>
    <row r="47">
      <c r="A47" s="57">
        <v>45968.0</v>
      </c>
      <c r="B47" s="64"/>
      <c r="C47" s="59" t="s">
        <v>88</v>
      </c>
      <c r="D47" s="59" t="s">
        <v>88</v>
      </c>
      <c r="E47" s="59" t="s">
        <v>88</v>
      </c>
      <c r="F47" s="59" t="s">
        <v>88</v>
      </c>
      <c r="G47" s="59" t="s">
        <v>88</v>
      </c>
      <c r="H47" s="59" t="s">
        <v>88</v>
      </c>
      <c r="I47" s="59" t="s">
        <v>88</v>
      </c>
      <c r="J47" s="59" t="s">
        <v>88</v>
      </c>
      <c r="K47" s="59" t="s">
        <v>88</v>
      </c>
      <c r="L47" s="59" t="s">
        <v>88</v>
      </c>
      <c r="M47" s="59" t="s">
        <v>90</v>
      </c>
      <c r="N47" s="59" t="s">
        <v>88</v>
      </c>
      <c r="O47" s="59" t="s">
        <v>88</v>
      </c>
      <c r="P47" s="60">
        <f t="shared" si="2"/>
        <v>12</v>
      </c>
      <c r="Q47" s="61">
        <v>13.0</v>
      </c>
      <c r="R47" s="62">
        <f t="shared" si="3"/>
        <v>0.9230769231</v>
      </c>
      <c r="S47" s="63"/>
      <c r="X47" s="54"/>
    </row>
    <row r="48">
      <c r="A48" s="57">
        <v>45971.0</v>
      </c>
      <c r="B48" s="64"/>
      <c r="C48" s="59"/>
      <c r="D48" s="59"/>
      <c r="E48" s="59"/>
      <c r="F48" s="59" t="s">
        <v>88</v>
      </c>
      <c r="G48" s="59" t="s">
        <v>88</v>
      </c>
      <c r="H48" s="59" t="s">
        <v>88</v>
      </c>
      <c r="I48" s="59" t="s">
        <v>90</v>
      </c>
      <c r="J48" s="59" t="s">
        <v>91</v>
      </c>
      <c r="K48" s="59" t="s">
        <v>88</v>
      </c>
      <c r="L48" s="59" t="s">
        <v>88</v>
      </c>
      <c r="M48" s="59" t="s">
        <v>88</v>
      </c>
      <c r="N48" s="59" t="s">
        <v>88</v>
      </c>
      <c r="O48" s="59" t="s">
        <v>88</v>
      </c>
      <c r="P48" s="60">
        <f t="shared" si="2"/>
        <v>8</v>
      </c>
      <c r="Q48" s="61">
        <v>10.0</v>
      </c>
      <c r="R48" s="62">
        <f t="shared" si="3"/>
        <v>0.8</v>
      </c>
      <c r="S48" s="63"/>
      <c r="T48" s="67" t="s">
        <v>37</v>
      </c>
      <c r="X48" s="54"/>
    </row>
    <row r="49">
      <c r="A49" s="57">
        <v>45972.0</v>
      </c>
      <c r="B49" s="64"/>
      <c r="C49" s="59" t="s">
        <v>88</v>
      </c>
      <c r="D49" s="59" t="s">
        <v>88</v>
      </c>
      <c r="E49" s="59" t="s">
        <v>88</v>
      </c>
      <c r="F49" s="59" t="s">
        <v>91</v>
      </c>
      <c r="G49" s="59" t="s">
        <v>88</v>
      </c>
      <c r="H49" s="59" t="s">
        <v>88</v>
      </c>
      <c r="I49" s="59" t="s">
        <v>88</v>
      </c>
      <c r="J49" s="59" t="s">
        <v>88</v>
      </c>
      <c r="K49" s="59" t="s">
        <v>88</v>
      </c>
      <c r="L49" s="59" t="s">
        <v>88</v>
      </c>
      <c r="M49" s="59" t="s">
        <v>88</v>
      </c>
      <c r="N49" s="59" t="s">
        <v>88</v>
      </c>
      <c r="O49" s="59" t="s">
        <v>88</v>
      </c>
      <c r="P49" s="60">
        <f t="shared" si="2"/>
        <v>12</v>
      </c>
      <c r="Q49" s="61">
        <v>13.0</v>
      </c>
      <c r="R49" s="62">
        <f t="shared" si="3"/>
        <v>0.9230769231</v>
      </c>
      <c r="S49" s="63"/>
      <c r="X49" s="54"/>
    </row>
    <row r="50">
      <c r="A50" s="57">
        <v>45973.0</v>
      </c>
      <c r="B50" s="64"/>
      <c r="C50" s="59" t="s">
        <v>88</v>
      </c>
      <c r="D50" s="59" t="s">
        <v>88</v>
      </c>
      <c r="E50" s="59" t="s">
        <v>88</v>
      </c>
      <c r="F50" s="59" t="s">
        <v>90</v>
      </c>
      <c r="G50" s="59" t="s">
        <v>88</v>
      </c>
      <c r="H50" s="59" t="s">
        <v>88</v>
      </c>
      <c r="I50" s="59" t="s">
        <v>88</v>
      </c>
      <c r="J50" s="59" t="s">
        <v>93</v>
      </c>
      <c r="K50" s="59" t="s">
        <v>88</v>
      </c>
      <c r="L50" s="59" t="s">
        <v>88</v>
      </c>
      <c r="M50" s="59" t="s">
        <v>88</v>
      </c>
      <c r="N50" s="59" t="s">
        <v>88</v>
      </c>
      <c r="O50" s="59" t="s">
        <v>88</v>
      </c>
      <c r="P50" s="60">
        <f t="shared" si="2"/>
        <v>11</v>
      </c>
      <c r="Q50" s="61">
        <v>13.0</v>
      </c>
      <c r="R50" s="62">
        <f t="shared" si="3"/>
        <v>0.8461538462</v>
      </c>
      <c r="S50" s="63"/>
      <c r="X50" s="54"/>
    </row>
    <row r="51">
      <c r="A51" s="57">
        <v>45974.0</v>
      </c>
      <c r="B51" s="64"/>
      <c r="C51" s="59" t="s">
        <v>88</v>
      </c>
      <c r="D51" s="59" t="s">
        <v>88</v>
      </c>
      <c r="E51" s="59" t="s">
        <v>88</v>
      </c>
      <c r="F51" s="59" t="s">
        <v>91</v>
      </c>
      <c r="G51" s="59" t="s">
        <v>91</v>
      </c>
      <c r="H51" s="59" t="s">
        <v>88</v>
      </c>
      <c r="I51" s="59" t="s">
        <v>88</v>
      </c>
      <c r="J51" s="59" t="s">
        <v>88</v>
      </c>
      <c r="K51" s="59" t="s">
        <v>88</v>
      </c>
      <c r="L51" s="59" t="s">
        <v>88</v>
      </c>
      <c r="M51" s="59" t="s">
        <v>88</v>
      </c>
      <c r="N51" s="59" t="s">
        <v>88</v>
      </c>
      <c r="O51" s="59" t="s">
        <v>88</v>
      </c>
      <c r="P51" s="60">
        <f t="shared" si="2"/>
        <v>11</v>
      </c>
      <c r="Q51" s="61">
        <v>13.0</v>
      </c>
      <c r="R51" s="62">
        <f t="shared" si="3"/>
        <v>0.8461538462</v>
      </c>
      <c r="S51" s="63"/>
      <c r="X51" s="54"/>
    </row>
    <row r="52">
      <c r="A52" s="57">
        <v>45975.0</v>
      </c>
      <c r="B52" s="64"/>
      <c r="C52" s="59" t="s">
        <v>88</v>
      </c>
      <c r="D52" s="59" t="s">
        <v>88</v>
      </c>
      <c r="E52" s="59" t="s">
        <v>88</v>
      </c>
      <c r="F52" s="59" t="s">
        <v>88</v>
      </c>
      <c r="G52" s="59" t="s">
        <v>88</v>
      </c>
      <c r="H52" s="59" t="s">
        <v>91</v>
      </c>
      <c r="I52" s="59" t="s">
        <v>88</v>
      </c>
      <c r="J52" s="59" t="s">
        <v>88</v>
      </c>
      <c r="K52" s="59" t="s">
        <v>88</v>
      </c>
      <c r="L52" s="59" t="s">
        <v>88</v>
      </c>
      <c r="M52" s="59" t="s">
        <v>88</v>
      </c>
      <c r="N52" s="59" t="s">
        <v>88</v>
      </c>
      <c r="O52" s="59" t="s">
        <v>91</v>
      </c>
      <c r="P52" s="60">
        <f t="shared" si="2"/>
        <v>11</v>
      </c>
      <c r="Q52" s="61">
        <v>13.0</v>
      </c>
      <c r="R52" s="62">
        <f t="shared" si="3"/>
        <v>0.8461538462</v>
      </c>
      <c r="S52" s="63"/>
      <c r="X52" s="54"/>
    </row>
    <row r="53">
      <c r="A53" s="57">
        <v>45978.0</v>
      </c>
      <c r="B53" s="64"/>
      <c r="C53" s="59" t="s">
        <v>88</v>
      </c>
      <c r="D53" s="59" t="s">
        <v>88</v>
      </c>
      <c r="E53" s="59" t="s">
        <v>88</v>
      </c>
      <c r="F53" s="59" t="s">
        <v>90</v>
      </c>
      <c r="G53" s="59" t="s">
        <v>88</v>
      </c>
      <c r="H53" s="59" t="s">
        <v>88</v>
      </c>
      <c r="I53" s="59" t="s">
        <v>88</v>
      </c>
      <c r="J53" s="59" t="s">
        <v>88</v>
      </c>
      <c r="K53" s="59" t="s">
        <v>88</v>
      </c>
      <c r="L53" s="59" t="s">
        <v>88</v>
      </c>
      <c r="M53" s="59" t="s">
        <v>90</v>
      </c>
      <c r="N53" s="59" t="s">
        <v>90</v>
      </c>
      <c r="O53" s="59" t="s">
        <v>88</v>
      </c>
      <c r="P53" s="60">
        <f t="shared" si="2"/>
        <v>10</v>
      </c>
      <c r="Q53" s="61">
        <v>13.0</v>
      </c>
      <c r="R53" s="62">
        <f t="shared" si="3"/>
        <v>0.7692307692</v>
      </c>
      <c r="S53" s="63"/>
      <c r="X53" s="54"/>
    </row>
    <row r="54">
      <c r="A54" s="57">
        <v>45979.0</v>
      </c>
      <c r="B54" s="64"/>
      <c r="C54" s="59" t="s">
        <v>88</v>
      </c>
      <c r="D54" s="59" t="s">
        <v>88</v>
      </c>
      <c r="E54" s="59" t="s">
        <v>88</v>
      </c>
      <c r="F54" s="59" t="s">
        <v>91</v>
      </c>
      <c r="G54" s="59" t="s">
        <v>91</v>
      </c>
      <c r="H54" s="59" t="s">
        <v>88</v>
      </c>
      <c r="I54" s="59" t="s">
        <v>88</v>
      </c>
      <c r="J54" s="59" t="s">
        <v>88</v>
      </c>
      <c r="K54" s="59" t="s">
        <v>88</v>
      </c>
      <c r="L54" s="59" t="s">
        <v>88</v>
      </c>
      <c r="M54" s="59" t="s">
        <v>88</v>
      </c>
      <c r="N54" s="59" t="s">
        <v>88</v>
      </c>
      <c r="O54" s="59" t="s">
        <v>88</v>
      </c>
      <c r="P54" s="60">
        <f t="shared" si="2"/>
        <v>11</v>
      </c>
      <c r="Q54" s="61">
        <v>13.0</v>
      </c>
      <c r="R54" s="62">
        <f t="shared" si="3"/>
        <v>0.8461538462</v>
      </c>
      <c r="S54" s="63"/>
      <c r="X54" s="54"/>
    </row>
    <row r="55">
      <c r="A55" s="57">
        <v>45980.0</v>
      </c>
      <c r="B55" s="64"/>
      <c r="C55" s="59" t="s">
        <v>88</v>
      </c>
      <c r="D55" s="59" t="s">
        <v>88</v>
      </c>
      <c r="E55" s="59" t="s">
        <v>88</v>
      </c>
      <c r="F55" s="59" t="s">
        <v>88</v>
      </c>
      <c r="G55" s="59" t="s">
        <v>88</v>
      </c>
      <c r="H55" s="59" t="s">
        <v>88</v>
      </c>
      <c r="I55" s="59" t="s">
        <v>88</v>
      </c>
      <c r="J55" s="59" t="s">
        <v>88</v>
      </c>
      <c r="K55" s="59" t="s">
        <v>88</v>
      </c>
      <c r="L55" s="59" t="s">
        <v>88</v>
      </c>
      <c r="M55" s="59" t="s">
        <v>88</v>
      </c>
      <c r="N55" s="59" t="s">
        <v>88</v>
      </c>
      <c r="O55" s="59" t="s">
        <v>88</v>
      </c>
      <c r="P55" s="60">
        <f t="shared" si="2"/>
        <v>13</v>
      </c>
      <c r="Q55" s="61">
        <v>13.0</v>
      </c>
      <c r="R55" s="62">
        <f t="shared" si="3"/>
        <v>1</v>
      </c>
      <c r="S55" s="63"/>
      <c r="X55" s="54"/>
    </row>
    <row r="56">
      <c r="A56" s="57">
        <v>45981.0</v>
      </c>
      <c r="B56" s="64"/>
      <c r="C56" s="59" t="s">
        <v>90</v>
      </c>
      <c r="D56" s="59" t="s">
        <v>90</v>
      </c>
      <c r="E56" s="59" t="s">
        <v>88</v>
      </c>
      <c r="F56" s="59" t="s">
        <v>91</v>
      </c>
      <c r="G56" s="59" t="s">
        <v>91</v>
      </c>
      <c r="H56" s="59" t="s">
        <v>88</v>
      </c>
      <c r="I56" s="59" t="s">
        <v>90</v>
      </c>
      <c r="J56" s="59" t="s">
        <v>88</v>
      </c>
      <c r="K56" s="59" t="s">
        <v>88</v>
      </c>
      <c r="L56" s="59" t="s">
        <v>88</v>
      </c>
      <c r="M56" s="59" t="s">
        <v>88</v>
      </c>
      <c r="N56" s="59" t="s">
        <v>88</v>
      </c>
      <c r="O56" s="59" t="s">
        <v>88</v>
      </c>
      <c r="P56" s="60">
        <f t="shared" si="2"/>
        <v>8</v>
      </c>
      <c r="Q56" s="61">
        <v>13.0</v>
      </c>
      <c r="R56" s="62">
        <f t="shared" si="3"/>
        <v>0.6153846154</v>
      </c>
      <c r="S56" s="63"/>
      <c r="X56" s="54"/>
    </row>
    <row r="57">
      <c r="A57" s="57">
        <v>45982.0</v>
      </c>
      <c r="B57" s="64"/>
      <c r="C57" s="59" t="s">
        <v>88</v>
      </c>
      <c r="D57" s="59" t="s">
        <v>88</v>
      </c>
      <c r="E57" s="59" t="s">
        <v>90</v>
      </c>
      <c r="F57" s="59" t="s">
        <v>88</v>
      </c>
      <c r="G57" s="59" t="s">
        <v>88</v>
      </c>
      <c r="H57" s="59" t="s">
        <v>88</v>
      </c>
      <c r="I57" s="59" t="s">
        <v>93</v>
      </c>
      <c r="J57" s="59" t="s">
        <v>88</v>
      </c>
      <c r="K57" s="59" t="s">
        <v>88</v>
      </c>
      <c r="L57" s="59" t="s">
        <v>88</v>
      </c>
      <c r="M57" s="59" t="s">
        <v>88</v>
      </c>
      <c r="N57" s="59" t="s">
        <v>88</v>
      </c>
      <c r="O57" s="59" t="s">
        <v>88</v>
      </c>
      <c r="P57" s="60">
        <f t="shared" si="2"/>
        <v>11</v>
      </c>
      <c r="Q57" s="61">
        <v>13.0</v>
      </c>
      <c r="R57" s="62">
        <f t="shared" si="3"/>
        <v>0.8461538462</v>
      </c>
      <c r="S57" s="63"/>
      <c r="X57" s="54"/>
    </row>
    <row r="58">
      <c r="A58" s="57">
        <v>45992.0</v>
      </c>
      <c r="B58" s="64"/>
      <c r="C58" s="59" t="s">
        <v>88</v>
      </c>
      <c r="D58" s="59" t="s">
        <v>91</v>
      </c>
      <c r="E58" s="59" t="s">
        <v>91</v>
      </c>
      <c r="F58" s="59" t="s">
        <v>88</v>
      </c>
      <c r="G58" s="59" t="s">
        <v>88</v>
      </c>
      <c r="H58" s="59" t="s">
        <v>88</v>
      </c>
      <c r="I58" s="59" t="s">
        <v>91</v>
      </c>
      <c r="J58" s="59" t="s">
        <v>88</v>
      </c>
      <c r="K58" s="59" t="s">
        <v>88</v>
      </c>
      <c r="L58" s="59" t="s">
        <v>88</v>
      </c>
      <c r="M58" s="59" t="s">
        <v>91</v>
      </c>
      <c r="N58" s="59" t="s">
        <v>88</v>
      </c>
      <c r="O58" s="59" t="s">
        <v>88</v>
      </c>
      <c r="P58" s="60">
        <f t="shared" si="2"/>
        <v>9</v>
      </c>
      <c r="Q58" s="61">
        <v>13.0</v>
      </c>
      <c r="R58" s="62">
        <f t="shared" si="3"/>
        <v>0.6923076923</v>
      </c>
      <c r="S58" s="63"/>
      <c r="X58" s="54"/>
    </row>
    <row r="59">
      <c r="A59" s="57">
        <v>45993.0</v>
      </c>
      <c r="B59" s="64"/>
      <c r="C59" s="59" t="s">
        <v>88</v>
      </c>
      <c r="D59" s="59" t="s">
        <v>88</v>
      </c>
      <c r="E59" s="59" t="s">
        <v>91</v>
      </c>
      <c r="F59" s="59" t="s">
        <v>91</v>
      </c>
      <c r="G59" s="59" t="s">
        <v>88</v>
      </c>
      <c r="H59" s="59" t="s">
        <v>88</v>
      </c>
      <c r="I59" s="59" t="s">
        <v>88</v>
      </c>
      <c r="J59" s="59" t="s">
        <v>88</v>
      </c>
      <c r="K59" s="59" t="s">
        <v>88</v>
      </c>
      <c r="L59" s="59" t="s">
        <v>88</v>
      </c>
      <c r="M59" s="59" t="s">
        <v>88</v>
      </c>
      <c r="N59" s="59" t="s">
        <v>88</v>
      </c>
      <c r="O59" s="59" t="s">
        <v>88</v>
      </c>
      <c r="P59" s="60">
        <f t="shared" si="2"/>
        <v>11</v>
      </c>
      <c r="Q59" s="61">
        <v>13.0</v>
      </c>
      <c r="R59" s="62">
        <f t="shared" si="3"/>
        <v>0.8461538462</v>
      </c>
      <c r="S59" s="63"/>
      <c r="X59" s="54"/>
    </row>
    <row r="60">
      <c r="A60" s="57">
        <v>45994.0</v>
      </c>
      <c r="B60" s="64"/>
      <c r="C60" s="59" t="s">
        <v>88</v>
      </c>
      <c r="D60" s="59" t="s">
        <v>88</v>
      </c>
      <c r="E60" s="59" t="s">
        <v>88</v>
      </c>
      <c r="F60" s="59" t="s">
        <v>88</v>
      </c>
      <c r="G60" s="59" t="s">
        <v>90</v>
      </c>
      <c r="H60" s="59" t="s">
        <v>88</v>
      </c>
      <c r="I60" s="59" t="s">
        <v>88</v>
      </c>
      <c r="J60" s="59" t="s">
        <v>88</v>
      </c>
      <c r="K60" s="59" t="s">
        <v>88</v>
      </c>
      <c r="L60" s="59" t="s">
        <v>88</v>
      </c>
      <c r="M60" s="59" t="s">
        <v>88</v>
      </c>
      <c r="N60" s="59" t="s">
        <v>91</v>
      </c>
      <c r="O60" s="59" t="s">
        <v>91</v>
      </c>
      <c r="P60" s="60">
        <f t="shared" si="2"/>
        <v>10</v>
      </c>
      <c r="Q60" s="61">
        <v>13.0</v>
      </c>
      <c r="R60" s="62">
        <f t="shared" si="3"/>
        <v>0.7692307692</v>
      </c>
      <c r="S60" s="63"/>
      <c r="X60" s="54"/>
    </row>
    <row r="61">
      <c r="A61" s="57">
        <v>45995.0</v>
      </c>
      <c r="B61" s="64"/>
      <c r="C61" s="59" t="s">
        <v>91</v>
      </c>
      <c r="D61" s="59" t="s">
        <v>88</v>
      </c>
      <c r="E61" s="59" t="s">
        <v>88</v>
      </c>
      <c r="F61" s="59" t="s">
        <v>88</v>
      </c>
      <c r="G61" s="59" t="s">
        <v>90</v>
      </c>
      <c r="H61" s="59" t="s">
        <v>88</v>
      </c>
      <c r="I61" s="59" t="s">
        <v>90</v>
      </c>
      <c r="J61" s="59" t="s">
        <v>88</v>
      </c>
      <c r="K61" s="59" t="s">
        <v>88</v>
      </c>
      <c r="L61" s="59" t="s">
        <v>88</v>
      </c>
      <c r="M61" s="59" t="s">
        <v>90</v>
      </c>
      <c r="N61" s="59" t="s">
        <v>90</v>
      </c>
      <c r="O61" s="59" t="s">
        <v>88</v>
      </c>
      <c r="P61" s="60">
        <f t="shared" si="2"/>
        <v>8</v>
      </c>
      <c r="Q61" s="61">
        <v>13.0</v>
      </c>
      <c r="R61" s="62">
        <f t="shared" si="3"/>
        <v>0.6153846154</v>
      </c>
      <c r="S61" s="63"/>
      <c r="X61" s="54"/>
    </row>
    <row r="62">
      <c r="A62" s="57">
        <v>45996.0</v>
      </c>
      <c r="B62" s="64"/>
      <c r="C62" s="59" t="s">
        <v>88</v>
      </c>
      <c r="D62" s="59" t="s">
        <v>91</v>
      </c>
      <c r="E62" s="59" t="s">
        <v>88</v>
      </c>
      <c r="F62" s="59" t="s">
        <v>90</v>
      </c>
      <c r="G62" s="59" t="s">
        <v>88</v>
      </c>
      <c r="H62" s="59" t="s">
        <v>88</v>
      </c>
      <c r="I62" s="59" t="s">
        <v>91</v>
      </c>
      <c r="J62" s="59" t="s">
        <v>88</v>
      </c>
      <c r="K62" s="59" t="s">
        <v>88</v>
      </c>
      <c r="L62" s="59" t="s">
        <v>88</v>
      </c>
      <c r="M62" s="59" t="s">
        <v>88</v>
      </c>
      <c r="N62" s="59" t="s">
        <v>88</v>
      </c>
      <c r="O62" s="59" t="s">
        <v>88</v>
      </c>
      <c r="P62" s="60">
        <f t="shared" si="2"/>
        <v>10</v>
      </c>
      <c r="Q62" s="61">
        <v>13.0</v>
      </c>
      <c r="R62" s="62">
        <f t="shared" si="3"/>
        <v>0.7692307692</v>
      </c>
      <c r="S62" s="63"/>
      <c r="X62" s="54"/>
    </row>
    <row r="63">
      <c r="A63" s="57">
        <v>45999.0</v>
      </c>
      <c r="B63" s="64"/>
      <c r="C63" s="59" t="s">
        <v>88</v>
      </c>
      <c r="D63" s="59" t="s">
        <v>91</v>
      </c>
      <c r="E63" s="59" t="s">
        <v>90</v>
      </c>
      <c r="F63" s="59" t="s">
        <v>91</v>
      </c>
      <c r="G63" s="59" t="s">
        <v>93</v>
      </c>
      <c r="H63" s="59" t="s">
        <v>91</v>
      </c>
      <c r="I63" s="59" t="s">
        <v>88</v>
      </c>
      <c r="J63" s="59" t="s">
        <v>88</v>
      </c>
      <c r="K63" s="59" t="s">
        <v>88</v>
      </c>
      <c r="L63" s="59" t="s">
        <v>88</v>
      </c>
      <c r="M63" s="59" t="s">
        <v>88</v>
      </c>
      <c r="N63" s="59" t="s">
        <v>88</v>
      </c>
      <c r="O63" s="59" t="s">
        <v>88</v>
      </c>
      <c r="P63" s="60">
        <f t="shared" si="2"/>
        <v>8</v>
      </c>
      <c r="Q63" s="61">
        <v>13.0</v>
      </c>
      <c r="R63" s="62">
        <f t="shared" si="3"/>
        <v>0.6153846154</v>
      </c>
      <c r="S63" s="63"/>
      <c r="X63" s="54"/>
    </row>
    <row r="64">
      <c r="A64" s="57">
        <v>46000.0</v>
      </c>
      <c r="B64" s="64"/>
      <c r="C64" s="59" t="s">
        <v>88</v>
      </c>
      <c r="D64" s="59" t="s">
        <v>88</v>
      </c>
      <c r="E64" s="59" t="s">
        <v>88</v>
      </c>
      <c r="F64" s="59" t="s">
        <v>88</v>
      </c>
      <c r="G64" s="59" t="s">
        <v>88</v>
      </c>
      <c r="H64" s="59" t="s">
        <v>88</v>
      </c>
      <c r="I64" s="59" t="s">
        <v>88</v>
      </c>
      <c r="J64" s="59" t="s">
        <v>88</v>
      </c>
      <c r="K64" s="59" t="s">
        <v>88</v>
      </c>
      <c r="L64" s="59" t="s">
        <v>88</v>
      </c>
      <c r="M64" s="59" t="s">
        <v>88</v>
      </c>
      <c r="N64" s="59" t="s">
        <v>88</v>
      </c>
      <c r="O64" s="59" t="s">
        <v>88</v>
      </c>
      <c r="P64" s="60">
        <f t="shared" si="2"/>
        <v>13</v>
      </c>
      <c r="Q64" s="61">
        <v>13.0</v>
      </c>
      <c r="R64" s="62">
        <f t="shared" si="3"/>
        <v>1</v>
      </c>
      <c r="S64" s="63"/>
      <c r="X64" s="54"/>
    </row>
    <row r="65">
      <c r="A65" s="57">
        <v>46001.0</v>
      </c>
      <c r="B65" s="64"/>
      <c r="C65" s="59" t="s">
        <v>88</v>
      </c>
      <c r="D65" s="59" t="s">
        <v>91</v>
      </c>
      <c r="E65" s="59" t="s">
        <v>88</v>
      </c>
      <c r="F65" s="59" t="s">
        <v>90</v>
      </c>
      <c r="G65" s="59" t="s">
        <v>88</v>
      </c>
      <c r="H65" s="59" t="s">
        <v>88</v>
      </c>
      <c r="I65" s="59" t="s">
        <v>91</v>
      </c>
      <c r="J65" s="59" t="s">
        <v>88</v>
      </c>
      <c r="K65" s="59" t="s">
        <v>88</v>
      </c>
      <c r="L65" s="59" t="s">
        <v>88</v>
      </c>
      <c r="M65" s="59" t="s">
        <v>88</v>
      </c>
      <c r="N65" s="59" t="s">
        <v>88</v>
      </c>
      <c r="O65" s="59" t="s">
        <v>88</v>
      </c>
      <c r="P65" s="60">
        <f t="shared" si="2"/>
        <v>10</v>
      </c>
      <c r="Q65" s="61">
        <v>13.0</v>
      </c>
      <c r="R65" s="62">
        <f t="shared" si="3"/>
        <v>0.7692307692</v>
      </c>
      <c r="S65" s="63"/>
      <c r="X65" s="54"/>
    </row>
    <row r="66">
      <c r="A66" s="57">
        <v>46002.0</v>
      </c>
      <c r="B66" s="64"/>
      <c r="C66" s="59" t="s">
        <v>88</v>
      </c>
      <c r="D66" s="59" t="s">
        <v>88</v>
      </c>
      <c r="E66" s="59" t="s">
        <v>90</v>
      </c>
      <c r="F66" s="59" t="s">
        <v>90</v>
      </c>
      <c r="G66" s="59" t="s">
        <v>88</v>
      </c>
      <c r="H66" s="59" t="s">
        <v>88</v>
      </c>
      <c r="I66" s="59" t="s">
        <v>91</v>
      </c>
      <c r="J66" s="59" t="s">
        <v>88</v>
      </c>
      <c r="K66" s="59" t="s">
        <v>88</v>
      </c>
      <c r="L66" s="59" t="s">
        <v>88</v>
      </c>
      <c r="M66" s="59" t="s">
        <v>88</v>
      </c>
      <c r="N66" s="59" t="s">
        <v>88</v>
      </c>
      <c r="O66" s="59" t="s">
        <v>90</v>
      </c>
      <c r="P66" s="60">
        <f t="shared" si="2"/>
        <v>9</v>
      </c>
      <c r="Q66" s="61">
        <v>13.0</v>
      </c>
      <c r="R66" s="62">
        <f t="shared" si="3"/>
        <v>0.6923076923</v>
      </c>
      <c r="S66" s="63"/>
      <c r="X66" s="54"/>
    </row>
    <row r="67">
      <c r="A67" s="57">
        <v>46003.0</v>
      </c>
      <c r="B67" s="64"/>
      <c r="C67" s="59"/>
      <c r="D67" s="59" t="s">
        <v>90</v>
      </c>
      <c r="E67" s="59" t="s">
        <v>88</v>
      </c>
      <c r="F67" s="59" t="s">
        <v>88</v>
      </c>
      <c r="G67" s="59" t="s">
        <v>91</v>
      </c>
      <c r="H67" s="59" t="s">
        <v>88</v>
      </c>
      <c r="I67" s="59" t="s">
        <v>88</v>
      </c>
      <c r="J67" s="59" t="s">
        <v>88</v>
      </c>
      <c r="K67" s="59" t="s">
        <v>88</v>
      </c>
      <c r="L67" s="59" t="s">
        <v>88</v>
      </c>
      <c r="M67" s="59" t="s">
        <v>88</v>
      </c>
      <c r="N67" s="59" t="s">
        <v>88</v>
      </c>
      <c r="O67" s="59" t="s">
        <v>88</v>
      </c>
      <c r="P67" s="60">
        <f t="shared" si="2"/>
        <v>10</v>
      </c>
      <c r="Q67" s="61">
        <v>12.0</v>
      </c>
      <c r="R67" s="62">
        <f t="shared" si="3"/>
        <v>0.8333333333</v>
      </c>
      <c r="S67" s="63"/>
      <c r="T67" s="67" t="s">
        <v>37</v>
      </c>
      <c r="X67" s="54"/>
    </row>
    <row r="68">
      <c r="A68" s="57">
        <v>46006.0</v>
      </c>
      <c r="B68" s="64"/>
      <c r="C68" s="59" t="s">
        <v>91</v>
      </c>
      <c r="D68" s="59" t="s">
        <v>91</v>
      </c>
      <c r="E68" s="59" t="s">
        <v>91</v>
      </c>
      <c r="F68" s="59" t="s">
        <v>91</v>
      </c>
      <c r="G68" s="59" t="s">
        <v>88</v>
      </c>
      <c r="H68" s="59" t="s">
        <v>88</v>
      </c>
      <c r="I68" s="59" t="s">
        <v>88</v>
      </c>
      <c r="J68" s="59" t="s">
        <v>88</v>
      </c>
      <c r="K68" s="59" t="s">
        <v>88</v>
      </c>
      <c r="L68" s="59" t="s">
        <v>88</v>
      </c>
      <c r="M68" s="59" t="s">
        <v>88</v>
      </c>
      <c r="N68" s="59" t="s">
        <v>88</v>
      </c>
      <c r="O68" s="59" t="s">
        <v>88</v>
      </c>
      <c r="P68" s="60">
        <f t="shared" si="2"/>
        <v>9</v>
      </c>
      <c r="Q68" s="61">
        <v>13.0</v>
      </c>
      <c r="R68" s="62">
        <f t="shared" si="3"/>
        <v>0.6923076923</v>
      </c>
      <c r="S68" s="63"/>
      <c r="X68" s="54"/>
    </row>
    <row r="69">
      <c r="A69" s="57">
        <v>46007.0</v>
      </c>
      <c r="B69" s="64"/>
      <c r="C69" s="59" t="s">
        <v>88</v>
      </c>
      <c r="D69" s="59" t="s">
        <v>88</v>
      </c>
      <c r="E69" s="59" t="s">
        <v>88</v>
      </c>
      <c r="F69" s="59" t="s">
        <v>88</v>
      </c>
      <c r="G69" s="59" t="s">
        <v>91</v>
      </c>
      <c r="H69" s="59" t="s">
        <v>88</v>
      </c>
      <c r="I69" s="59" t="s">
        <v>88</v>
      </c>
      <c r="J69" s="59" t="s">
        <v>88</v>
      </c>
      <c r="K69" s="59" t="s">
        <v>88</v>
      </c>
      <c r="L69" s="59" t="s">
        <v>91</v>
      </c>
      <c r="M69" s="59" t="s">
        <v>88</v>
      </c>
      <c r="N69" s="59" t="s">
        <v>88</v>
      </c>
      <c r="O69" s="59" t="s">
        <v>88</v>
      </c>
      <c r="P69" s="60">
        <f t="shared" si="2"/>
        <v>11</v>
      </c>
      <c r="Q69" s="61">
        <v>13.0</v>
      </c>
      <c r="R69" s="62">
        <f t="shared" si="3"/>
        <v>0.8461538462</v>
      </c>
      <c r="S69" s="63"/>
      <c r="X69" s="54"/>
    </row>
    <row r="70">
      <c r="A70" s="57">
        <v>46008.0</v>
      </c>
      <c r="B70" s="64"/>
      <c r="C70" s="59" t="s">
        <v>88</v>
      </c>
      <c r="D70" s="59" t="s">
        <v>88</v>
      </c>
      <c r="E70" s="59" t="s">
        <v>88</v>
      </c>
      <c r="F70" s="59" t="s">
        <v>90</v>
      </c>
      <c r="G70" s="59" t="s">
        <v>91</v>
      </c>
      <c r="H70" s="59" t="s">
        <v>88</v>
      </c>
      <c r="I70" s="59" t="s">
        <v>91</v>
      </c>
      <c r="J70" s="59" t="s">
        <v>90</v>
      </c>
      <c r="K70" s="59" t="s">
        <v>88</v>
      </c>
      <c r="L70" s="59"/>
      <c r="M70" s="59"/>
      <c r="N70" s="59"/>
      <c r="O70" s="59"/>
      <c r="P70" s="60">
        <f t="shared" si="2"/>
        <v>5</v>
      </c>
      <c r="Q70" s="61">
        <v>12.0</v>
      </c>
      <c r="R70" s="62">
        <f t="shared" si="3"/>
        <v>0.4166666667</v>
      </c>
      <c r="S70" s="63"/>
      <c r="T70" s="67" t="s">
        <v>94</v>
      </c>
      <c r="X70" s="54"/>
    </row>
    <row r="71">
      <c r="A71" s="57">
        <v>46010.0</v>
      </c>
      <c r="B71" s="64"/>
      <c r="C71" s="59"/>
      <c r="D71" s="59"/>
      <c r="E71" s="59"/>
      <c r="F71" s="59" t="s">
        <v>88</v>
      </c>
      <c r="G71" s="59" t="s">
        <v>88</v>
      </c>
      <c r="H71" s="59" t="s">
        <v>91</v>
      </c>
      <c r="I71" s="59" t="s">
        <v>88</v>
      </c>
      <c r="J71" s="59" t="s">
        <v>91</v>
      </c>
      <c r="K71" s="59" t="s">
        <v>88</v>
      </c>
      <c r="L71" s="59" t="s">
        <v>88</v>
      </c>
      <c r="M71" s="59" t="s">
        <v>88</v>
      </c>
      <c r="N71" s="59" t="s">
        <v>88</v>
      </c>
      <c r="O71" s="59" t="s">
        <v>88</v>
      </c>
      <c r="P71" s="60">
        <f t="shared" si="2"/>
        <v>8</v>
      </c>
      <c r="Q71" s="61">
        <v>13.0</v>
      </c>
      <c r="R71" s="62">
        <f t="shared" si="3"/>
        <v>0.6153846154</v>
      </c>
      <c r="S71" s="63"/>
      <c r="X71" s="54"/>
    </row>
    <row r="72">
      <c r="A72" s="57">
        <v>46013.0</v>
      </c>
      <c r="B72" s="64"/>
      <c r="C72" s="59" t="s">
        <v>88</v>
      </c>
      <c r="D72" s="59" t="s">
        <v>91</v>
      </c>
      <c r="E72" s="59"/>
      <c r="F72" s="59" t="s">
        <v>88</v>
      </c>
      <c r="G72" s="59" t="s">
        <v>88</v>
      </c>
      <c r="H72" s="59" t="s">
        <v>88</v>
      </c>
      <c r="I72" s="59" t="s">
        <v>88</v>
      </c>
      <c r="J72" s="59" t="s">
        <v>88</v>
      </c>
      <c r="K72" s="59" t="s">
        <v>88</v>
      </c>
      <c r="L72" s="59" t="s">
        <v>88</v>
      </c>
      <c r="M72" s="59" t="s">
        <v>91</v>
      </c>
      <c r="N72" s="59" t="s">
        <v>88</v>
      </c>
      <c r="O72" s="59" t="s">
        <v>91</v>
      </c>
      <c r="P72" s="60">
        <f t="shared" si="2"/>
        <v>9</v>
      </c>
      <c r="Q72" s="61">
        <v>13.0</v>
      </c>
      <c r="R72" s="62">
        <f t="shared" si="3"/>
        <v>0.6923076923</v>
      </c>
      <c r="S72" s="63"/>
      <c r="T72" s="67" t="s">
        <v>95</v>
      </c>
      <c r="X72" s="54"/>
    </row>
    <row r="73">
      <c r="A73" s="57">
        <v>46014.0</v>
      </c>
      <c r="B73" s="64"/>
      <c r="C73" s="59" t="s">
        <v>88</v>
      </c>
      <c r="D73" s="59" t="s">
        <v>88</v>
      </c>
      <c r="E73" s="59" t="s">
        <v>88</v>
      </c>
      <c r="F73" s="59" t="s">
        <v>88</v>
      </c>
      <c r="G73" s="59" t="s">
        <v>88</v>
      </c>
      <c r="H73" s="59" t="s">
        <v>88</v>
      </c>
      <c r="I73" s="59" t="s">
        <v>88</v>
      </c>
      <c r="J73" s="59" t="s">
        <v>88</v>
      </c>
      <c r="K73" s="59" t="s">
        <v>88</v>
      </c>
      <c r="L73" s="59" t="s">
        <v>88</v>
      </c>
      <c r="M73" s="59" t="s">
        <v>88</v>
      </c>
      <c r="N73" s="59" t="s">
        <v>88</v>
      </c>
      <c r="O73" s="59" t="s">
        <v>88</v>
      </c>
      <c r="P73" s="60">
        <f t="shared" si="2"/>
        <v>13</v>
      </c>
      <c r="Q73" s="61">
        <v>13.0</v>
      </c>
      <c r="R73" s="62">
        <f t="shared" si="3"/>
        <v>1</v>
      </c>
      <c r="S73" s="63"/>
      <c r="X73" s="54"/>
    </row>
    <row r="74">
      <c r="A74" s="57">
        <v>46027.0</v>
      </c>
      <c r="B74" s="64"/>
      <c r="C74" s="59"/>
      <c r="D74" s="59"/>
      <c r="E74" s="59" t="s">
        <v>91</v>
      </c>
      <c r="F74" s="59" t="s">
        <v>88</v>
      </c>
      <c r="G74" s="59" t="s">
        <v>88</v>
      </c>
      <c r="H74" s="59" t="s">
        <v>88</v>
      </c>
      <c r="I74" s="59" t="s">
        <v>88</v>
      </c>
      <c r="J74" s="59" t="s">
        <v>88</v>
      </c>
      <c r="K74" s="59" t="s">
        <v>88</v>
      </c>
      <c r="L74" s="59" t="s">
        <v>88</v>
      </c>
      <c r="M74" s="59" t="s">
        <v>88</v>
      </c>
      <c r="N74" s="59" t="s">
        <v>88</v>
      </c>
      <c r="O74" s="59" t="s">
        <v>88</v>
      </c>
      <c r="P74" s="60">
        <f t="shared" si="2"/>
        <v>10</v>
      </c>
      <c r="Q74" s="61">
        <v>11.0</v>
      </c>
      <c r="R74" s="62">
        <f t="shared" si="3"/>
        <v>0.9090909091</v>
      </c>
      <c r="S74" s="63"/>
      <c r="X74" s="54"/>
    </row>
    <row r="75">
      <c r="A75" s="57">
        <v>46028.0</v>
      </c>
      <c r="B75" s="64"/>
      <c r="C75" s="59" t="s">
        <v>88</v>
      </c>
      <c r="D75" s="59" t="s">
        <v>88</v>
      </c>
      <c r="E75" s="59" t="s">
        <v>88</v>
      </c>
      <c r="F75" s="59" t="s">
        <v>88</v>
      </c>
      <c r="G75" s="59" t="s">
        <v>91</v>
      </c>
      <c r="H75" s="59" t="s">
        <v>88</v>
      </c>
      <c r="I75" s="59" t="s">
        <v>90</v>
      </c>
      <c r="J75" s="59" t="s">
        <v>88</v>
      </c>
      <c r="K75" s="59" t="s">
        <v>88</v>
      </c>
      <c r="L75" s="59" t="s">
        <v>88</v>
      </c>
      <c r="M75" s="59" t="s">
        <v>88</v>
      </c>
      <c r="N75" s="59" t="s">
        <v>88</v>
      </c>
      <c r="O75" s="59" t="s">
        <v>88</v>
      </c>
      <c r="P75" s="60">
        <f t="shared" si="2"/>
        <v>11</v>
      </c>
      <c r="Q75" s="61">
        <v>13.0</v>
      </c>
      <c r="R75" s="62">
        <f t="shared" si="3"/>
        <v>0.8461538462</v>
      </c>
      <c r="S75" s="63"/>
      <c r="X75" s="54"/>
    </row>
    <row r="76">
      <c r="A76" s="57">
        <v>46029.0</v>
      </c>
      <c r="B76" s="64"/>
      <c r="C76" s="59" t="s">
        <v>88</v>
      </c>
      <c r="D76" s="59" t="s">
        <v>88</v>
      </c>
      <c r="E76" s="59" t="s">
        <v>91</v>
      </c>
      <c r="F76" s="59" t="s">
        <v>88</v>
      </c>
      <c r="G76" s="59" t="s">
        <v>91</v>
      </c>
      <c r="H76" s="59" t="s">
        <v>88</v>
      </c>
      <c r="I76" s="59" t="s">
        <v>88</v>
      </c>
      <c r="J76" s="59" t="s">
        <v>88</v>
      </c>
      <c r="K76" s="59" t="s">
        <v>88</v>
      </c>
      <c r="L76" s="59" t="s">
        <v>88</v>
      </c>
      <c r="M76" s="59" t="s">
        <v>88</v>
      </c>
      <c r="N76" s="59" t="s">
        <v>88</v>
      </c>
      <c r="O76" s="59" t="s">
        <v>88</v>
      </c>
      <c r="P76" s="60">
        <f t="shared" si="2"/>
        <v>11</v>
      </c>
      <c r="Q76" s="61">
        <v>13.0</v>
      </c>
      <c r="R76" s="62">
        <f t="shared" si="3"/>
        <v>0.8461538462</v>
      </c>
      <c r="S76" s="63"/>
      <c r="X76" s="54"/>
    </row>
    <row r="77">
      <c r="A77" s="57">
        <v>46030.0</v>
      </c>
      <c r="B77" s="64"/>
      <c r="C77" s="59" t="s">
        <v>88</v>
      </c>
      <c r="D77" s="59" t="s">
        <v>93</v>
      </c>
      <c r="E77" s="59" t="s">
        <v>88</v>
      </c>
      <c r="F77" s="59" t="s">
        <v>88</v>
      </c>
      <c r="G77" s="59" t="s">
        <v>88</v>
      </c>
      <c r="H77" s="59" t="s">
        <v>91</v>
      </c>
      <c r="I77" s="59" t="s">
        <v>88</v>
      </c>
      <c r="J77" s="59" t="s">
        <v>90</v>
      </c>
      <c r="K77" s="59" t="s">
        <v>88</v>
      </c>
      <c r="L77" s="59" t="s">
        <v>88</v>
      </c>
      <c r="M77" s="59" t="s">
        <v>88</v>
      </c>
      <c r="N77" s="59" t="s">
        <v>88</v>
      </c>
      <c r="O77" s="59" t="s">
        <v>88</v>
      </c>
      <c r="P77" s="60">
        <f t="shared" si="2"/>
        <v>10</v>
      </c>
      <c r="Q77" s="61">
        <v>13.0</v>
      </c>
      <c r="R77" s="62">
        <f t="shared" si="3"/>
        <v>0.7692307692</v>
      </c>
      <c r="S77" s="63"/>
      <c r="X77" s="54"/>
    </row>
    <row r="78">
      <c r="A78" s="57">
        <v>46034.0</v>
      </c>
      <c r="B78" s="64"/>
      <c r="C78" s="59" t="s">
        <v>88</v>
      </c>
      <c r="D78" s="59" t="s">
        <v>88</v>
      </c>
      <c r="E78" s="59" t="s">
        <v>88</v>
      </c>
      <c r="F78" s="59" t="s">
        <v>88</v>
      </c>
      <c r="G78" s="59" t="s">
        <v>88</v>
      </c>
      <c r="H78" s="59" t="s">
        <v>88</v>
      </c>
      <c r="I78" s="59" t="s">
        <v>91</v>
      </c>
      <c r="J78" s="59" t="s">
        <v>88</v>
      </c>
      <c r="K78" s="59" t="s">
        <v>88</v>
      </c>
      <c r="L78" s="59" t="s">
        <v>88</v>
      </c>
      <c r="M78" s="59" t="s">
        <v>88</v>
      </c>
      <c r="N78" s="59" t="s">
        <v>88</v>
      </c>
      <c r="O78" s="59" t="s">
        <v>88</v>
      </c>
      <c r="P78" s="60">
        <f t="shared" si="2"/>
        <v>12</v>
      </c>
      <c r="Q78" s="61">
        <v>13.0</v>
      </c>
      <c r="R78" s="62">
        <f t="shared" si="3"/>
        <v>0.9230769231</v>
      </c>
      <c r="S78" s="63"/>
      <c r="X78" s="54"/>
    </row>
    <row r="79">
      <c r="A79" s="57">
        <v>46035.0</v>
      </c>
      <c r="B79" s="64"/>
      <c r="C79" s="59" t="s">
        <v>88</v>
      </c>
      <c r="D79" s="59" t="s">
        <v>88</v>
      </c>
      <c r="E79" s="59" t="s">
        <v>91</v>
      </c>
      <c r="F79" s="59" t="s">
        <v>88</v>
      </c>
      <c r="G79" s="59" t="s">
        <v>88</v>
      </c>
      <c r="H79" s="59" t="s">
        <v>88</v>
      </c>
      <c r="I79" s="59" t="s">
        <v>88</v>
      </c>
      <c r="J79" s="59" t="s">
        <v>90</v>
      </c>
      <c r="K79" s="59" t="s">
        <v>88</v>
      </c>
      <c r="L79" s="59" t="s">
        <v>88</v>
      </c>
      <c r="M79" s="59" t="s">
        <v>88</v>
      </c>
      <c r="N79" s="59" t="s">
        <v>90</v>
      </c>
      <c r="O79" s="59" t="s">
        <v>88</v>
      </c>
      <c r="P79" s="60">
        <f t="shared" si="2"/>
        <v>10</v>
      </c>
      <c r="Q79" s="61">
        <v>13.0</v>
      </c>
      <c r="R79" s="62">
        <f t="shared" si="3"/>
        <v>0.7692307692</v>
      </c>
      <c r="S79" s="63"/>
      <c r="X79" s="54"/>
    </row>
    <row r="80">
      <c r="A80" s="57">
        <v>46036.0</v>
      </c>
      <c r="B80" s="64"/>
      <c r="C80" s="59" t="s">
        <v>88</v>
      </c>
      <c r="D80" s="59" t="s">
        <v>88</v>
      </c>
      <c r="E80" s="59" t="s">
        <v>90</v>
      </c>
      <c r="F80" s="59" t="s">
        <v>88</v>
      </c>
      <c r="G80" s="59" t="s">
        <v>90</v>
      </c>
      <c r="H80" s="59" t="s">
        <v>88</v>
      </c>
      <c r="I80" s="59" t="s">
        <v>90</v>
      </c>
      <c r="J80" s="59" t="s">
        <v>88</v>
      </c>
      <c r="K80" s="59" t="s">
        <v>88</v>
      </c>
      <c r="L80" s="59" t="s">
        <v>88</v>
      </c>
      <c r="M80" s="59" t="s">
        <v>88</v>
      </c>
      <c r="N80" s="59" t="s">
        <v>88</v>
      </c>
      <c r="O80" s="59" t="s">
        <v>90</v>
      </c>
      <c r="P80" s="60">
        <f t="shared" si="2"/>
        <v>9</v>
      </c>
      <c r="Q80" s="61">
        <v>13.0</v>
      </c>
      <c r="R80" s="62">
        <f t="shared" si="3"/>
        <v>0.6923076923</v>
      </c>
      <c r="S80" s="63"/>
      <c r="X80" s="54"/>
    </row>
    <row r="81">
      <c r="A81" s="57">
        <v>46037.0</v>
      </c>
      <c r="B81" s="64"/>
      <c r="C81" s="59" t="s">
        <v>88</v>
      </c>
      <c r="D81" s="59" t="s">
        <v>91</v>
      </c>
      <c r="E81" s="59" t="s">
        <v>88</v>
      </c>
      <c r="F81" s="59" t="s">
        <v>91</v>
      </c>
      <c r="G81" s="59" t="s">
        <v>88</v>
      </c>
      <c r="H81" s="59" t="s">
        <v>88</v>
      </c>
      <c r="I81" s="59" t="s">
        <v>88</v>
      </c>
      <c r="J81" s="59" t="s">
        <v>88</v>
      </c>
      <c r="K81" s="59" t="s">
        <v>88</v>
      </c>
      <c r="L81" s="59" t="s">
        <v>88</v>
      </c>
      <c r="M81" s="59" t="s">
        <v>90</v>
      </c>
      <c r="N81" s="59" t="s">
        <v>88</v>
      </c>
      <c r="O81" s="59" t="s">
        <v>88</v>
      </c>
      <c r="P81" s="60">
        <f t="shared" si="2"/>
        <v>10</v>
      </c>
      <c r="Q81" s="61">
        <v>13.0</v>
      </c>
      <c r="R81" s="62">
        <f t="shared" si="3"/>
        <v>0.7692307692</v>
      </c>
      <c r="S81" s="63"/>
      <c r="X81" s="54"/>
    </row>
    <row r="82">
      <c r="A82" s="57">
        <v>46038.0</v>
      </c>
      <c r="B82" s="64"/>
      <c r="C82" s="59" t="s">
        <v>88</v>
      </c>
      <c r="D82" s="59" t="s">
        <v>88</v>
      </c>
      <c r="E82" s="59" t="s">
        <v>88</v>
      </c>
      <c r="F82" s="59" t="s">
        <v>88</v>
      </c>
      <c r="G82" s="59" t="s">
        <v>90</v>
      </c>
      <c r="H82" s="59" t="s">
        <v>88</v>
      </c>
      <c r="I82" s="59" t="s">
        <v>90</v>
      </c>
      <c r="J82" s="59" t="s">
        <v>90</v>
      </c>
      <c r="K82" s="59" t="s">
        <v>88</v>
      </c>
      <c r="L82" s="59" t="s">
        <v>88</v>
      </c>
      <c r="M82" s="59" t="s">
        <v>88</v>
      </c>
      <c r="N82" s="59" t="s">
        <v>88</v>
      </c>
      <c r="O82" s="59" t="s">
        <v>88</v>
      </c>
      <c r="P82" s="60">
        <f t="shared" si="2"/>
        <v>10</v>
      </c>
      <c r="Q82" s="61">
        <v>13.0</v>
      </c>
      <c r="R82" s="62">
        <f t="shared" si="3"/>
        <v>0.7692307692</v>
      </c>
      <c r="S82" s="63"/>
      <c r="X82" s="54"/>
    </row>
    <row r="83">
      <c r="A83" s="57">
        <v>46042.0</v>
      </c>
      <c r="B83" s="64"/>
      <c r="C83" s="59" t="s">
        <v>88</v>
      </c>
      <c r="D83" s="59" t="s">
        <v>91</v>
      </c>
      <c r="E83" s="59" t="s">
        <v>88</v>
      </c>
      <c r="F83" s="59" t="s">
        <v>88</v>
      </c>
      <c r="G83" s="59" t="s">
        <v>88</v>
      </c>
      <c r="H83" s="59" t="s">
        <v>88</v>
      </c>
      <c r="I83" s="59" t="s">
        <v>88</v>
      </c>
      <c r="J83" s="59" t="s">
        <v>88</v>
      </c>
      <c r="K83" s="59" t="s">
        <v>88</v>
      </c>
      <c r="L83" s="59" t="s">
        <v>88</v>
      </c>
      <c r="M83" s="59" t="s">
        <v>91</v>
      </c>
      <c r="N83" s="59" t="s">
        <v>88</v>
      </c>
      <c r="O83" s="59" t="s">
        <v>88</v>
      </c>
      <c r="P83" s="60">
        <f t="shared" si="2"/>
        <v>11</v>
      </c>
      <c r="Q83" s="61">
        <v>13.0</v>
      </c>
      <c r="R83" s="62">
        <f t="shared" si="3"/>
        <v>0.8461538462</v>
      </c>
      <c r="S83" s="63"/>
      <c r="X83" s="54"/>
    </row>
    <row r="84">
      <c r="A84" s="57">
        <v>46043.0</v>
      </c>
      <c r="B84" s="64"/>
      <c r="C84" s="59"/>
      <c r="D84" s="59"/>
      <c r="E84" s="59"/>
      <c r="F84" s="59" t="s">
        <v>88</v>
      </c>
      <c r="G84" s="59" t="s">
        <v>88</v>
      </c>
      <c r="H84" s="59" t="s">
        <v>88</v>
      </c>
      <c r="I84" s="59" t="s">
        <v>88</v>
      </c>
      <c r="J84" s="59" t="s">
        <v>88</v>
      </c>
      <c r="K84" s="59" t="s">
        <v>88</v>
      </c>
      <c r="L84" s="59" t="s">
        <v>88</v>
      </c>
      <c r="M84" s="59" t="s">
        <v>88</v>
      </c>
      <c r="N84" s="59" t="s">
        <v>88</v>
      </c>
      <c r="O84" s="59" t="s">
        <v>88</v>
      </c>
      <c r="P84" s="60">
        <f t="shared" si="2"/>
        <v>10</v>
      </c>
      <c r="Q84" s="61">
        <v>10.0</v>
      </c>
      <c r="R84" s="62">
        <f t="shared" si="3"/>
        <v>1</v>
      </c>
      <c r="S84" s="63"/>
      <c r="T84" s="67" t="s">
        <v>37</v>
      </c>
      <c r="X84" s="54"/>
    </row>
    <row r="85">
      <c r="A85" s="57">
        <v>46044.0</v>
      </c>
      <c r="B85" s="64"/>
      <c r="C85" s="59" t="s">
        <v>88</v>
      </c>
      <c r="D85" s="59" t="s">
        <v>88</v>
      </c>
      <c r="E85" s="59" t="s">
        <v>91</v>
      </c>
      <c r="F85" s="59" t="s">
        <v>88</v>
      </c>
      <c r="G85" s="59" t="s">
        <v>88</v>
      </c>
      <c r="H85" s="59" t="s">
        <v>88</v>
      </c>
      <c r="I85" s="59" t="s">
        <v>88</v>
      </c>
      <c r="J85" s="59" t="s">
        <v>88</v>
      </c>
      <c r="K85" s="59" t="s">
        <v>88</v>
      </c>
      <c r="L85" s="59" t="s">
        <v>88</v>
      </c>
      <c r="M85" s="59" t="s">
        <v>88</v>
      </c>
      <c r="N85" s="59" t="s">
        <v>88</v>
      </c>
      <c r="O85" s="59" t="s">
        <v>88</v>
      </c>
      <c r="P85" s="60">
        <f t="shared" si="2"/>
        <v>12</v>
      </c>
      <c r="Q85" s="61">
        <v>13.0</v>
      </c>
      <c r="R85" s="62">
        <f t="shared" si="3"/>
        <v>0.9230769231</v>
      </c>
      <c r="S85" s="63"/>
      <c r="X85" s="54"/>
    </row>
    <row r="86">
      <c r="A86" s="57">
        <v>46048.0</v>
      </c>
      <c r="B86" s="64"/>
      <c r="C86" s="59" t="s">
        <v>91</v>
      </c>
      <c r="D86" s="59" t="s">
        <v>93</v>
      </c>
      <c r="E86" s="59" t="s">
        <v>90</v>
      </c>
      <c r="F86" s="59" t="s">
        <v>88</v>
      </c>
      <c r="G86" s="59" t="s">
        <v>88</v>
      </c>
      <c r="H86" s="59" t="s">
        <v>88</v>
      </c>
      <c r="I86" s="59" t="s">
        <v>90</v>
      </c>
      <c r="J86" s="59" t="s">
        <v>88</v>
      </c>
      <c r="K86" s="59" t="s">
        <v>88</v>
      </c>
      <c r="L86" s="59" t="s">
        <v>88</v>
      </c>
      <c r="M86" s="59" t="s">
        <v>88</v>
      </c>
      <c r="N86" s="59" t="s">
        <v>88</v>
      </c>
      <c r="O86" s="59" t="s">
        <v>88</v>
      </c>
      <c r="P86" s="60">
        <f t="shared" si="2"/>
        <v>9</v>
      </c>
      <c r="Q86" s="61">
        <v>13.0</v>
      </c>
      <c r="R86" s="62">
        <f t="shared" si="3"/>
        <v>0.6923076923</v>
      </c>
      <c r="S86" s="63"/>
      <c r="X86" s="54"/>
    </row>
    <row r="87">
      <c r="A87" s="57">
        <v>46049.0</v>
      </c>
      <c r="B87" s="64"/>
      <c r="C87" s="59" t="s">
        <v>88</v>
      </c>
      <c r="D87" s="59" t="s">
        <v>88</v>
      </c>
      <c r="E87" s="59" t="s">
        <v>88</v>
      </c>
      <c r="F87" s="59" t="s">
        <v>88</v>
      </c>
      <c r="G87" s="59" t="s">
        <v>88</v>
      </c>
      <c r="H87" s="59" t="s">
        <v>88</v>
      </c>
      <c r="I87" s="59" t="s">
        <v>88</v>
      </c>
      <c r="J87" s="59" t="s">
        <v>91</v>
      </c>
      <c r="K87" s="59" t="s">
        <v>88</v>
      </c>
      <c r="L87" s="59" t="s">
        <v>91</v>
      </c>
      <c r="M87" s="59" t="s">
        <v>91</v>
      </c>
      <c r="N87" s="59" t="s">
        <v>88</v>
      </c>
      <c r="O87" s="59" t="s">
        <v>88</v>
      </c>
      <c r="P87" s="60">
        <f t="shared" si="2"/>
        <v>10</v>
      </c>
      <c r="Q87" s="61">
        <v>13.0</v>
      </c>
      <c r="R87" s="62">
        <f t="shared" si="3"/>
        <v>0.7692307692</v>
      </c>
      <c r="S87" s="63"/>
      <c r="X87" s="54"/>
    </row>
    <row r="88">
      <c r="A88" s="57">
        <v>46050.0</v>
      </c>
      <c r="B88" s="64"/>
      <c r="C88" s="59" t="s">
        <v>88</v>
      </c>
      <c r="D88" s="59" t="s">
        <v>88</v>
      </c>
      <c r="E88" s="59" t="s">
        <v>88</v>
      </c>
      <c r="F88" s="59" t="s">
        <v>88</v>
      </c>
      <c r="G88" s="59" t="s">
        <v>88</v>
      </c>
      <c r="H88" s="59" t="s">
        <v>88</v>
      </c>
      <c r="I88" s="59" t="s">
        <v>88</v>
      </c>
      <c r="J88" s="59" t="s">
        <v>88</v>
      </c>
      <c r="K88" s="59" t="s">
        <v>88</v>
      </c>
      <c r="L88" s="59" t="s">
        <v>88</v>
      </c>
      <c r="M88" s="59" t="s">
        <v>88</v>
      </c>
      <c r="N88" s="59" t="s">
        <v>88</v>
      </c>
      <c r="O88" s="59" t="s">
        <v>88</v>
      </c>
      <c r="P88" s="60">
        <f t="shared" si="2"/>
        <v>13</v>
      </c>
      <c r="Q88" s="61">
        <v>13.0</v>
      </c>
      <c r="R88" s="62">
        <f t="shared" si="3"/>
        <v>1</v>
      </c>
      <c r="S88" s="63"/>
      <c r="X88" s="54"/>
    </row>
    <row r="89">
      <c r="A89" s="57">
        <v>46051.0</v>
      </c>
      <c r="B89" s="64"/>
      <c r="C89" s="59" t="s">
        <v>88</v>
      </c>
      <c r="D89" s="59" t="s">
        <v>88</v>
      </c>
      <c r="E89" s="59" t="s">
        <v>88</v>
      </c>
      <c r="F89" s="59" t="s">
        <v>88</v>
      </c>
      <c r="G89" s="59" t="s">
        <v>88</v>
      </c>
      <c r="H89" s="59" t="s">
        <v>91</v>
      </c>
      <c r="I89" s="59" t="s">
        <v>91</v>
      </c>
      <c r="J89" s="59" t="s">
        <v>91</v>
      </c>
      <c r="K89" s="59" t="s">
        <v>88</v>
      </c>
      <c r="L89" s="59" t="s">
        <v>88</v>
      </c>
      <c r="M89" s="59" t="s">
        <v>90</v>
      </c>
      <c r="N89" s="59" t="s">
        <v>91</v>
      </c>
      <c r="O89" s="59" t="s">
        <v>90</v>
      </c>
      <c r="P89" s="60">
        <f t="shared" si="2"/>
        <v>7</v>
      </c>
      <c r="Q89" s="61">
        <v>13.0</v>
      </c>
      <c r="R89" s="62">
        <f t="shared" si="3"/>
        <v>0.5384615385</v>
      </c>
      <c r="S89" s="63"/>
      <c r="X89" s="54"/>
    </row>
    <row r="90">
      <c r="A90" s="57">
        <v>46052.0</v>
      </c>
      <c r="B90" s="64"/>
      <c r="C90" s="59" t="s">
        <v>88</v>
      </c>
      <c r="D90" s="59" t="s">
        <v>88</v>
      </c>
      <c r="E90" s="59" t="s">
        <v>88</v>
      </c>
      <c r="F90" s="59" t="s">
        <v>88</v>
      </c>
      <c r="G90" s="59" t="s">
        <v>88</v>
      </c>
      <c r="H90" s="59" t="s">
        <v>88</v>
      </c>
      <c r="I90" s="59" t="s">
        <v>88</v>
      </c>
      <c r="J90" s="59" t="s">
        <v>88</v>
      </c>
      <c r="K90" s="59" t="s">
        <v>88</v>
      </c>
      <c r="L90" s="59" t="s">
        <v>88</v>
      </c>
      <c r="M90" s="59" t="s">
        <v>91</v>
      </c>
      <c r="N90" s="59" t="s">
        <v>91</v>
      </c>
      <c r="O90" s="59" t="s">
        <v>91</v>
      </c>
      <c r="P90" s="60">
        <f t="shared" si="2"/>
        <v>10</v>
      </c>
      <c r="Q90" s="61">
        <v>13.0</v>
      </c>
      <c r="R90" s="62">
        <f t="shared" si="3"/>
        <v>0.7692307692</v>
      </c>
      <c r="S90" s="63"/>
      <c r="X90" s="54"/>
    </row>
    <row r="91">
      <c r="A91" s="57">
        <v>46055.0</v>
      </c>
      <c r="B91" s="64"/>
      <c r="C91" s="59" t="s">
        <v>88</v>
      </c>
      <c r="D91" s="59" t="s">
        <v>88</v>
      </c>
      <c r="E91" s="59" t="s">
        <v>88</v>
      </c>
      <c r="F91" s="59" t="s">
        <v>90</v>
      </c>
      <c r="G91" s="59" t="s">
        <v>88</v>
      </c>
      <c r="H91" s="59" t="s">
        <v>88</v>
      </c>
      <c r="I91" s="59" t="s">
        <v>88</v>
      </c>
      <c r="J91" s="59" t="s">
        <v>88</v>
      </c>
      <c r="K91" s="59" t="s">
        <v>88</v>
      </c>
      <c r="L91" s="59" t="s">
        <v>88</v>
      </c>
      <c r="M91" s="59" t="s">
        <v>88</v>
      </c>
      <c r="N91" s="59" t="s">
        <v>88</v>
      </c>
      <c r="O91" s="59" t="s">
        <v>88</v>
      </c>
      <c r="P91" s="60">
        <f t="shared" si="2"/>
        <v>12</v>
      </c>
      <c r="Q91" s="61">
        <v>13.0</v>
      </c>
      <c r="R91" s="62">
        <f t="shared" si="3"/>
        <v>0.9230769231</v>
      </c>
      <c r="S91" s="63"/>
      <c r="X91" s="54"/>
    </row>
    <row r="92">
      <c r="A92" s="57">
        <v>46056.0</v>
      </c>
      <c r="B92" s="64"/>
      <c r="C92" s="59" t="s">
        <v>88</v>
      </c>
      <c r="D92" s="59" t="s">
        <v>88</v>
      </c>
      <c r="E92" s="59" t="s">
        <v>88</v>
      </c>
      <c r="F92" s="59" t="s">
        <v>88</v>
      </c>
      <c r="G92" s="59" t="s">
        <v>88</v>
      </c>
      <c r="H92" s="59" t="s">
        <v>88</v>
      </c>
      <c r="I92" s="59" t="s">
        <v>88</v>
      </c>
      <c r="J92" s="59" t="s">
        <v>88</v>
      </c>
      <c r="K92" s="59" t="s">
        <v>88</v>
      </c>
      <c r="L92" s="59" t="s">
        <v>88</v>
      </c>
      <c r="M92" s="59" t="s">
        <v>88</v>
      </c>
      <c r="N92" s="59" t="s">
        <v>88</v>
      </c>
      <c r="O92" s="59" t="s">
        <v>88</v>
      </c>
      <c r="P92" s="60">
        <f t="shared" si="2"/>
        <v>13</v>
      </c>
      <c r="Q92" s="61">
        <v>13.0</v>
      </c>
      <c r="R92" s="62">
        <f t="shared" si="3"/>
        <v>1</v>
      </c>
      <c r="S92" s="63"/>
      <c r="X92" s="54"/>
    </row>
    <row r="93">
      <c r="A93" s="57">
        <v>46057.0</v>
      </c>
      <c r="B93" s="64"/>
      <c r="C93" s="59" t="s">
        <v>88</v>
      </c>
      <c r="D93" s="59" t="s">
        <v>88</v>
      </c>
      <c r="E93" s="59" t="s">
        <v>93</v>
      </c>
      <c r="F93" s="59" t="s">
        <v>91</v>
      </c>
      <c r="G93" s="59" t="s">
        <v>91</v>
      </c>
      <c r="H93" s="59" t="s">
        <v>88</v>
      </c>
      <c r="I93" s="59" t="s">
        <v>88</v>
      </c>
      <c r="J93" s="59" t="s">
        <v>88</v>
      </c>
      <c r="K93" s="59" t="s">
        <v>88</v>
      </c>
      <c r="L93" s="59" t="s">
        <v>88</v>
      </c>
      <c r="M93" s="59" t="s">
        <v>88</v>
      </c>
      <c r="N93" s="59" t="s">
        <v>88</v>
      </c>
      <c r="O93" s="59" t="s">
        <v>88</v>
      </c>
      <c r="P93" s="60">
        <f t="shared" si="2"/>
        <v>10</v>
      </c>
      <c r="Q93" s="61">
        <v>13.0</v>
      </c>
      <c r="R93" s="62">
        <f t="shared" si="3"/>
        <v>0.7692307692</v>
      </c>
      <c r="S93" s="63"/>
      <c r="X93" s="54"/>
    </row>
    <row r="94">
      <c r="A94" s="57">
        <v>46058.0</v>
      </c>
      <c r="B94" s="64"/>
      <c r="C94" s="59" t="s">
        <v>88</v>
      </c>
      <c r="D94" s="59" t="s">
        <v>88</v>
      </c>
      <c r="E94" s="59" t="s">
        <v>88</v>
      </c>
      <c r="F94" s="59" t="s">
        <v>88</v>
      </c>
      <c r="G94" s="59" t="s">
        <v>88</v>
      </c>
      <c r="H94" s="59" t="s">
        <v>88</v>
      </c>
      <c r="I94" s="59" t="s">
        <v>88</v>
      </c>
      <c r="J94" s="59" t="s">
        <v>88</v>
      </c>
      <c r="K94" s="59" t="s">
        <v>88</v>
      </c>
      <c r="L94" s="59" t="s">
        <v>88</v>
      </c>
      <c r="M94" s="59" t="s">
        <v>88</v>
      </c>
      <c r="N94" s="59" t="s">
        <v>88</v>
      </c>
      <c r="O94" s="59" t="s">
        <v>88</v>
      </c>
      <c r="P94" s="60">
        <f t="shared" si="2"/>
        <v>13</v>
      </c>
      <c r="Q94" s="61">
        <v>13.0</v>
      </c>
      <c r="R94" s="62">
        <f t="shared" si="3"/>
        <v>1</v>
      </c>
      <c r="S94" s="63"/>
      <c r="X94" s="54"/>
    </row>
    <row r="95">
      <c r="A95" s="57">
        <v>46059.0</v>
      </c>
      <c r="B95" s="64"/>
      <c r="C95" s="59" t="s">
        <v>88</v>
      </c>
      <c r="D95" s="59" t="s">
        <v>88</v>
      </c>
      <c r="E95" s="59" t="s">
        <v>88</v>
      </c>
      <c r="F95" s="59" t="s">
        <v>88</v>
      </c>
      <c r="G95" s="59" t="s">
        <v>88</v>
      </c>
      <c r="H95" s="59" t="s">
        <v>88</v>
      </c>
      <c r="I95" s="59" t="s">
        <v>88</v>
      </c>
      <c r="J95" s="59" t="s">
        <v>88</v>
      </c>
      <c r="K95" s="59" t="s">
        <v>88</v>
      </c>
      <c r="L95" s="59" t="s">
        <v>88</v>
      </c>
      <c r="M95" s="59" t="s">
        <v>88</v>
      </c>
      <c r="N95" s="59" t="s">
        <v>90</v>
      </c>
      <c r="O95" s="59" t="s">
        <v>88</v>
      </c>
      <c r="P95" s="60">
        <f t="shared" si="2"/>
        <v>12</v>
      </c>
      <c r="Q95" s="61">
        <v>13.0</v>
      </c>
      <c r="R95" s="62">
        <f t="shared" si="3"/>
        <v>0.9230769231</v>
      </c>
      <c r="S95" s="63"/>
      <c r="X95" s="54"/>
    </row>
    <row r="96">
      <c r="A96" s="57">
        <v>46062.0</v>
      </c>
      <c r="B96" s="64"/>
      <c r="C96" s="59" t="s">
        <v>88</v>
      </c>
      <c r="D96" s="59" t="s">
        <v>88</v>
      </c>
      <c r="E96" s="59" t="s">
        <v>88</v>
      </c>
      <c r="F96" s="59" t="s">
        <v>88</v>
      </c>
      <c r="G96" s="59" t="s">
        <v>88</v>
      </c>
      <c r="H96" s="59" t="s">
        <v>88</v>
      </c>
      <c r="I96" s="59" t="s">
        <v>91</v>
      </c>
      <c r="J96" s="59" t="s">
        <v>88</v>
      </c>
      <c r="K96" s="59" t="s">
        <v>88</v>
      </c>
      <c r="L96" s="59" t="s">
        <v>88</v>
      </c>
      <c r="M96" s="59" t="s">
        <v>88</v>
      </c>
      <c r="N96" s="59" t="s">
        <v>88</v>
      </c>
      <c r="O96" s="59" t="s">
        <v>91</v>
      </c>
      <c r="P96" s="60">
        <f t="shared" si="2"/>
        <v>11</v>
      </c>
      <c r="Q96" s="61">
        <v>13.0</v>
      </c>
      <c r="R96" s="62">
        <f t="shared" si="3"/>
        <v>0.8461538462</v>
      </c>
      <c r="S96" s="63"/>
      <c r="X96" s="54"/>
    </row>
    <row r="97">
      <c r="A97" s="57">
        <v>46063.0</v>
      </c>
      <c r="B97" s="64"/>
      <c r="C97" s="59" t="s">
        <v>88</v>
      </c>
      <c r="D97" s="59" t="s">
        <v>90</v>
      </c>
      <c r="E97" s="59" t="s">
        <v>91</v>
      </c>
      <c r="F97" s="59" t="s">
        <v>91</v>
      </c>
      <c r="G97" s="59" t="s">
        <v>90</v>
      </c>
      <c r="H97" s="59" t="s">
        <v>88</v>
      </c>
      <c r="I97" s="59" t="s">
        <v>88</v>
      </c>
      <c r="J97" s="59" t="s">
        <v>90</v>
      </c>
      <c r="K97" s="59" t="s">
        <v>88</v>
      </c>
      <c r="L97" s="59" t="s">
        <v>88</v>
      </c>
      <c r="M97" s="59" t="s">
        <v>88</v>
      </c>
      <c r="N97" s="59" t="s">
        <v>88</v>
      </c>
      <c r="O97" s="59" t="s">
        <v>88</v>
      </c>
      <c r="P97" s="60">
        <f t="shared" si="2"/>
        <v>8</v>
      </c>
      <c r="Q97" s="61">
        <v>13.0</v>
      </c>
      <c r="R97" s="62">
        <f t="shared" si="3"/>
        <v>0.6153846154</v>
      </c>
      <c r="S97" s="63"/>
      <c r="X97" s="54"/>
    </row>
    <row r="98">
      <c r="A98" s="57">
        <v>46064.0</v>
      </c>
      <c r="B98" s="64"/>
      <c r="C98" s="59" t="s">
        <v>91</v>
      </c>
      <c r="D98" s="59" t="s">
        <v>88</v>
      </c>
      <c r="E98" s="59" t="s">
        <v>88</v>
      </c>
      <c r="F98" s="59" t="s">
        <v>91</v>
      </c>
      <c r="G98" s="59" t="s">
        <v>91</v>
      </c>
      <c r="H98" s="59" t="s">
        <v>91</v>
      </c>
      <c r="I98" s="59" t="s">
        <v>88</v>
      </c>
      <c r="J98" s="59" t="s">
        <v>88</v>
      </c>
      <c r="K98" s="59" t="s">
        <v>88</v>
      </c>
      <c r="L98" s="59" t="s">
        <v>88</v>
      </c>
      <c r="M98" s="59"/>
      <c r="N98" s="59"/>
      <c r="O98" s="59"/>
      <c r="P98" s="60">
        <f t="shared" si="2"/>
        <v>6</v>
      </c>
      <c r="Q98" s="61">
        <v>10.0</v>
      </c>
      <c r="R98" s="62">
        <f t="shared" si="3"/>
        <v>0.6</v>
      </c>
      <c r="S98" s="63"/>
      <c r="T98" s="67" t="s">
        <v>24</v>
      </c>
      <c r="X98" s="54"/>
    </row>
    <row r="99">
      <c r="A99" s="57">
        <v>46066.0</v>
      </c>
      <c r="B99" s="64"/>
      <c r="C99" s="59" t="s">
        <v>88</v>
      </c>
      <c r="D99" s="59" t="s">
        <v>88</v>
      </c>
      <c r="E99" s="59" t="s">
        <v>88</v>
      </c>
      <c r="F99" s="59" t="s">
        <v>88</v>
      </c>
      <c r="G99" s="59" t="s">
        <v>88</v>
      </c>
      <c r="H99" s="59" t="s">
        <v>88</v>
      </c>
      <c r="I99" s="59" t="s">
        <v>88</v>
      </c>
      <c r="J99" s="59" t="s">
        <v>88</v>
      </c>
      <c r="K99" s="59" t="s">
        <v>88</v>
      </c>
      <c r="L99" s="59" t="s">
        <v>88</v>
      </c>
      <c r="M99" s="59" t="s">
        <v>88</v>
      </c>
      <c r="N99" s="59" t="s">
        <v>88</v>
      </c>
      <c r="O99" s="59" t="s">
        <v>88</v>
      </c>
      <c r="P99" s="60">
        <f t="shared" si="2"/>
        <v>13</v>
      </c>
      <c r="Q99" s="61">
        <v>13.0</v>
      </c>
      <c r="R99" s="62">
        <f t="shared" si="3"/>
        <v>1</v>
      </c>
      <c r="S99" s="63"/>
      <c r="T99" s="67" t="s">
        <v>50</v>
      </c>
      <c r="X99" s="54"/>
    </row>
    <row r="100">
      <c r="A100" s="57">
        <v>46071.0</v>
      </c>
      <c r="B100" s="64"/>
      <c r="C100" s="59" t="s">
        <v>88</v>
      </c>
      <c r="D100" s="59" t="s">
        <v>91</v>
      </c>
      <c r="E100" s="59" t="s">
        <v>88</v>
      </c>
      <c r="F100" s="59" t="s">
        <v>88</v>
      </c>
      <c r="G100" s="59" t="s">
        <v>88</v>
      </c>
      <c r="H100" s="59" t="s">
        <v>88</v>
      </c>
      <c r="I100" s="59" t="s">
        <v>88</v>
      </c>
      <c r="J100" s="59" t="s">
        <v>88</v>
      </c>
      <c r="K100" s="59" t="s">
        <v>88</v>
      </c>
      <c r="L100" s="59" t="s">
        <v>88</v>
      </c>
      <c r="M100" s="59" t="s">
        <v>88</v>
      </c>
      <c r="N100" s="59" t="s">
        <v>88</v>
      </c>
      <c r="O100" s="59" t="s">
        <v>88</v>
      </c>
      <c r="P100" s="60">
        <f t="shared" si="2"/>
        <v>12</v>
      </c>
      <c r="Q100" s="61">
        <v>13.0</v>
      </c>
      <c r="R100" s="62">
        <f t="shared" si="3"/>
        <v>0.9230769231</v>
      </c>
      <c r="S100" s="63"/>
      <c r="X100" s="54"/>
    </row>
    <row r="101">
      <c r="A101" s="57">
        <v>46072.0</v>
      </c>
      <c r="B101" s="64"/>
      <c r="C101" s="59" t="s">
        <v>88</v>
      </c>
      <c r="D101" s="59" t="s">
        <v>88</v>
      </c>
      <c r="E101" s="59" t="s">
        <v>88</v>
      </c>
      <c r="F101" s="59" t="s">
        <v>88</v>
      </c>
      <c r="G101" s="59" t="s">
        <v>91</v>
      </c>
      <c r="H101" s="59" t="s">
        <v>88</v>
      </c>
      <c r="I101" s="59" t="s">
        <v>88</v>
      </c>
      <c r="J101" s="59" t="s">
        <v>88</v>
      </c>
      <c r="K101" s="59" t="s">
        <v>88</v>
      </c>
      <c r="L101" s="59" t="s">
        <v>88</v>
      </c>
      <c r="M101" s="59" t="s">
        <v>88</v>
      </c>
      <c r="N101" s="59" t="s">
        <v>88</v>
      </c>
      <c r="O101" s="59" t="s">
        <v>88</v>
      </c>
      <c r="P101" s="60">
        <f t="shared" si="2"/>
        <v>12</v>
      </c>
      <c r="Q101" s="61">
        <v>13.0</v>
      </c>
      <c r="R101" s="62">
        <f t="shared" si="3"/>
        <v>0.9230769231</v>
      </c>
      <c r="S101" s="63"/>
      <c r="X101" s="54"/>
    </row>
    <row r="102">
      <c r="A102" s="57">
        <v>46073.0</v>
      </c>
      <c r="B102" s="64"/>
      <c r="C102" s="59" t="s">
        <v>88</v>
      </c>
      <c r="D102" s="59" t="s">
        <v>88</v>
      </c>
      <c r="E102" s="59" t="s">
        <v>88</v>
      </c>
      <c r="F102" s="59" t="s">
        <v>88</v>
      </c>
      <c r="G102" s="59" t="s">
        <v>88</v>
      </c>
      <c r="H102" s="59" t="s">
        <v>88</v>
      </c>
      <c r="I102" s="59" t="s">
        <v>88</v>
      </c>
      <c r="J102" s="59" t="s">
        <v>88</v>
      </c>
      <c r="K102" s="59" t="s">
        <v>88</v>
      </c>
      <c r="L102" s="59" t="s">
        <v>88</v>
      </c>
      <c r="M102" s="59" t="s">
        <v>88</v>
      </c>
      <c r="N102" s="59" t="s">
        <v>88</v>
      </c>
      <c r="O102" s="59" t="s">
        <v>88</v>
      </c>
      <c r="P102" s="60">
        <f t="shared" si="2"/>
        <v>13</v>
      </c>
      <c r="Q102" s="61">
        <v>13.0</v>
      </c>
      <c r="R102" s="62">
        <f t="shared" si="3"/>
        <v>1</v>
      </c>
      <c r="S102" s="63"/>
      <c r="X102" s="54"/>
    </row>
    <row r="103">
      <c r="A103" s="57">
        <v>46076.0</v>
      </c>
      <c r="B103" s="64"/>
      <c r="C103" s="59" t="s">
        <v>88</v>
      </c>
      <c r="D103" s="59" t="s">
        <v>88</v>
      </c>
      <c r="E103" s="59" t="s">
        <v>88</v>
      </c>
      <c r="F103" s="59" t="s">
        <v>88</v>
      </c>
      <c r="G103" s="59" t="s">
        <v>88</v>
      </c>
      <c r="H103" s="59" t="s">
        <v>88</v>
      </c>
      <c r="I103" s="59" t="s">
        <v>90</v>
      </c>
      <c r="J103" s="59" t="s">
        <v>88</v>
      </c>
      <c r="K103" s="59" t="s">
        <v>88</v>
      </c>
      <c r="L103" s="59" t="s">
        <v>88</v>
      </c>
      <c r="M103" s="59" t="s">
        <v>88</v>
      </c>
      <c r="N103" s="59" t="s">
        <v>90</v>
      </c>
      <c r="O103" s="59" t="s">
        <v>90</v>
      </c>
      <c r="P103" s="60">
        <f t="shared" si="2"/>
        <v>10</v>
      </c>
      <c r="Q103" s="61">
        <v>13.0</v>
      </c>
      <c r="R103" s="62">
        <f t="shared" si="3"/>
        <v>0.7692307692</v>
      </c>
      <c r="S103" s="63"/>
      <c r="X103" s="54"/>
    </row>
    <row r="104">
      <c r="A104" s="57"/>
      <c r="B104" s="64"/>
      <c r="C104" s="59"/>
      <c r="D104" s="59"/>
      <c r="E104" s="59"/>
      <c r="F104" s="59"/>
      <c r="G104" s="59"/>
      <c r="H104" s="59"/>
      <c r="I104" s="59"/>
      <c r="J104" s="59"/>
      <c r="K104" s="59"/>
      <c r="L104" s="59"/>
      <c r="M104" s="59"/>
      <c r="N104" s="59"/>
      <c r="O104" s="59"/>
      <c r="P104" s="60">
        <f t="shared" si="2"/>
        <v>0</v>
      </c>
      <c r="Q104" s="61">
        <v>13.0</v>
      </c>
      <c r="R104" s="62">
        <f t="shared" si="3"/>
        <v>0</v>
      </c>
      <c r="S104" s="63"/>
      <c r="X104" s="54"/>
    </row>
  </sheetData>
  <mergeCells count="102">
    <mergeCell ref="X52:Y52"/>
    <mergeCell ref="X53:Y53"/>
    <mergeCell ref="X54:Y54"/>
    <mergeCell ref="X55:Y55"/>
    <mergeCell ref="X56:Y56"/>
    <mergeCell ref="X57:Y57"/>
    <mergeCell ref="X58:Y58"/>
    <mergeCell ref="X59:Y59"/>
    <mergeCell ref="X60:Y60"/>
    <mergeCell ref="X61:Y61"/>
    <mergeCell ref="X62:Y62"/>
    <mergeCell ref="X63:Y63"/>
    <mergeCell ref="X64:Y64"/>
    <mergeCell ref="X65:Y65"/>
    <mergeCell ref="X66:Y66"/>
    <mergeCell ref="X67:Y67"/>
    <mergeCell ref="X68:Y68"/>
    <mergeCell ref="X69:Y69"/>
    <mergeCell ref="X70:Y70"/>
    <mergeCell ref="X71:Y71"/>
    <mergeCell ref="X72:Y72"/>
    <mergeCell ref="X73:Y73"/>
    <mergeCell ref="X74:Y74"/>
    <mergeCell ref="X75:Y75"/>
    <mergeCell ref="X76:Y76"/>
    <mergeCell ref="X77:Y77"/>
    <mergeCell ref="X78:Y78"/>
    <mergeCell ref="X79:Y79"/>
    <mergeCell ref="X80:Y80"/>
    <mergeCell ref="X81:Y81"/>
    <mergeCell ref="X82:Y82"/>
    <mergeCell ref="X83:Y83"/>
    <mergeCell ref="X84:Y84"/>
    <mergeCell ref="X85:Y85"/>
    <mergeCell ref="X86:Y86"/>
    <mergeCell ref="X87:Y87"/>
    <mergeCell ref="X88:Y88"/>
    <mergeCell ref="X89:Y89"/>
    <mergeCell ref="X90:Y90"/>
    <mergeCell ref="X91:Y91"/>
    <mergeCell ref="X92:Y92"/>
    <mergeCell ref="X93:Y93"/>
    <mergeCell ref="X101:Y101"/>
    <mergeCell ref="X102:Y102"/>
    <mergeCell ref="X103:Y103"/>
    <mergeCell ref="X104:Y104"/>
    <mergeCell ref="X94:Y94"/>
    <mergeCell ref="X95:Y95"/>
    <mergeCell ref="X96:Y96"/>
    <mergeCell ref="X97:Y97"/>
    <mergeCell ref="X98:Y98"/>
    <mergeCell ref="X99:Y99"/>
    <mergeCell ref="X100:Y100"/>
    <mergeCell ref="X1:Y1"/>
    <mergeCell ref="X3:Y3"/>
    <mergeCell ref="X4:Y4"/>
    <mergeCell ref="X5:Y5"/>
    <mergeCell ref="X6:Y6"/>
    <mergeCell ref="X8:Y8"/>
    <mergeCell ref="X9:Y9"/>
    <mergeCell ref="X10:Y10"/>
    <mergeCell ref="X11:Y11"/>
    <mergeCell ref="X12:Y12"/>
    <mergeCell ref="X13:Y13"/>
    <mergeCell ref="X14:Y14"/>
    <mergeCell ref="X15:Y15"/>
    <mergeCell ref="X16:Y16"/>
    <mergeCell ref="X17:Y17"/>
    <mergeCell ref="X18:Y18"/>
    <mergeCell ref="X19:Y19"/>
    <mergeCell ref="X20:Y20"/>
    <mergeCell ref="X21:Y21"/>
    <mergeCell ref="X22:Y22"/>
    <mergeCell ref="X23:Y23"/>
    <mergeCell ref="X24:Y24"/>
    <mergeCell ref="X25:Y25"/>
    <mergeCell ref="X26:Y26"/>
    <mergeCell ref="X27:Y27"/>
    <mergeCell ref="X28:Y28"/>
    <mergeCell ref="X29:Y29"/>
    <mergeCell ref="X30:Y30"/>
    <mergeCell ref="X31:Y31"/>
    <mergeCell ref="X32:Y32"/>
    <mergeCell ref="X33:Y33"/>
    <mergeCell ref="X34:Y34"/>
    <mergeCell ref="X35:Y35"/>
    <mergeCell ref="X36:Y36"/>
    <mergeCell ref="X37:Y37"/>
    <mergeCell ref="X38:Y38"/>
    <mergeCell ref="X39:Y39"/>
    <mergeCell ref="X40:Y40"/>
    <mergeCell ref="X41:Y41"/>
    <mergeCell ref="X42:Y42"/>
    <mergeCell ref="X43:Y43"/>
    <mergeCell ref="X44:Y44"/>
    <mergeCell ref="X45:Y45"/>
    <mergeCell ref="X46:Y46"/>
    <mergeCell ref="X47:Y47"/>
    <mergeCell ref="X48:Y48"/>
    <mergeCell ref="X49:Y49"/>
    <mergeCell ref="X50:Y50"/>
    <mergeCell ref="X51:Y51"/>
  </mergeCells>
  <conditionalFormatting sqref="S1 U1:U2 T2">
    <cfRule type="cellIs" dxfId="0" priority="1" operator="between">
      <formula>0.7</formula>
      <formula>0.84</formula>
    </cfRule>
  </conditionalFormatting>
  <conditionalFormatting sqref="S1 U1:U2 T2">
    <cfRule type="cellIs" dxfId="1" priority="2" operator="between">
      <formula>0.01</formula>
      <formula>0.6</formula>
    </cfRule>
  </conditionalFormatting>
  <conditionalFormatting sqref="P3:P104">
    <cfRule type="colorScale" priority="3">
      <colorScale>
        <cfvo type="min"/>
        <cfvo type="max"/>
        <color rgb="FFFFFFFF"/>
        <color rgb="FF57BB8A"/>
      </colorScale>
    </cfRule>
  </conditionalFormatting>
  <conditionalFormatting sqref="A2:O2">
    <cfRule type="cellIs" dxfId="2" priority="4" operator="between">
      <formula>13</formula>
      <formula>19</formula>
    </cfRule>
  </conditionalFormatting>
  <conditionalFormatting sqref="A2:O2">
    <cfRule type="cellIs" dxfId="3" priority="5" operator="greaterThanOrEqual">
      <formula>20</formula>
    </cfRule>
  </conditionalFormatting>
  <dataValidations>
    <dataValidation type="list" allowBlank="1" sqref="C3:O104">
      <formula1>"Mod,In class,Mild,Severe"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